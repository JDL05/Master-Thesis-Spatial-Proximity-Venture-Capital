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janlinzner/Projects/Master-Thesis-Spatial-Proximity-Venture-Capital/docs/working_documents/"/>
    </mc:Choice>
  </mc:AlternateContent>
  <xr:revisionPtr revIDLastSave="0" documentId="13_ncr:1_{A0720FCB-B29B-8A44-98D7-615E6F8E8ADD}" xr6:coauthVersionLast="47" xr6:coauthVersionMax="47" xr10:uidLastSave="{00000000-0000-0000-0000-000000000000}"/>
  <bookViews>
    <workbookView xWindow="0" yWindow="740" windowWidth="29400" windowHeight="18380" activeTab="6" xr2:uid="{AB2802A1-B2D6-D448-8853-2C20DC0DE37E}"/>
  </bookViews>
  <sheets>
    <sheet name="Proximity" sheetId="1" r:id="rId1"/>
    <sheet name="Startup-Success" sheetId="2" r:id="rId2"/>
    <sheet name="Venture Capital" sheetId="9" r:id="rId3"/>
    <sheet name="Startup-Financing" sheetId="13" r:id="rId4"/>
    <sheet name="VC Theory" sheetId="11" r:id="rId5"/>
    <sheet name="VC-Support" sheetId="7" r:id="rId6"/>
    <sheet name="Ecosystem" sheetId="4" r:id="rId7"/>
    <sheet name="Startup Network" sheetId="3" r:id="rId8"/>
    <sheet name="Other" sheetId="12" r:id="rId9"/>
    <sheet name="Paper-Analysis" sheetId="8"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8" l="1"/>
  <c r="C10" i="8"/>
  <c r="C8" i="8"/>
  <c r="J5" i="8"/>
  <c r="F6" i="8"/>
  <c r="F5" i="8"/>
  <c r="F7" i="8"/>
  <c r="C12" i="8"/>
  <c r="C11" i="8"/>
  <c r="C7" i="8"/>
  <c r="C6" i="8"/>
  <c r="C5" i="8"/>
  <c r="C13" i="8" l="1"/>
  <c r="G7" i="8" l="1"/>
  <c r="J6" i="8"/>
  <c r="K6" i="8" s="1"/>
  <c r="K5" i="8"/>
  <c r="G6" i="8"/>
  <c r="G5" i="8"/>
</calcChain>
</file>

<file path=xl/sharedStrings.xml><?xml version="1.0" encoding="utf-8"?>
<sst xmlns="http://schemas.openxmlformats.org/spreadsheetml/2006/main" count="1348" uniqueCount="933">
  <si>
    <t>Abstract</t>
  </si>
  <si>
    <t>Outcome / Findings</t>
  </si>
  <si>
    <t>Future Research</t>
  </si>
  <si>
    <t>Authors</t>
  </si>
  <si>
    <t>Year</t>
  </si>
  <si>
    <t>Research / Theory</t>
  </si>
  <si>
    <t>Method</t>
  </si>
  <si>
    <t>Variables</t>
  </si>
  <si>
    <t>Relevance</t>
  </si>
  <si>
    <t>The city and high-tech startups: The spatial organization of Schumpeterian
entrepreneurship</t>
  </si>
  <si>
    <t>Patrick Adlera, Richard Floridab, Karen Kingb, Charlotta Mellanderc</t>
  </si>
  <si>
    <t>DOI</t>
  </si>
  <si>
    <t>Journal Title</t>
  </si>
  <si>
    <t>Paper Title</t>
  </si>
  <si>
    <t>https://doi.org/10.1016/j.cities.2018.12.013</t>
  </si>
  <si>
    <t>Proximity relations and the fate of VC‑backed startups:
Evidence from a global 33‑year‑long dataset</t>
  </si>
  <si>
    <t>Journal of Evolutionary Economics</t>
  </si>
  <si>
    <t>The characteristics of the financial arrangements established to finance startups
affect the fate of startups. Among these features, we particularly focus on the prox-
imities and differences between venture capital (VC) investors in syndicated invest-
ments. We consider the proximities between investors in a startup and between
investors and the startup. Against the background of the theoretical literature dealing
with proximity relations, we distinguish five types of proximities between VC inves-
tors and between VC investors and the startups they finance: geographic, institu-
tional, organizational, social, and cognitive. We then test six hypotheses regarding
the impacts of these proximities on the likelihood of three events occurring in VC-
backed startups: obtaining a later-stage round of funding, going public, and being
merged or acquired. We implement these tests on a 33-year-long, 68-country sample
using survival models adapted to account for tied failures and competing events. We
find that the five forms of proximity relations are influential but have distinct roles.
We also find that the impacts of these proximities are nonlinear in the sense that too
much proximity/distance always ends up reverting the effects of proximity/distance.
Finally, we observe that as the theoretical literature predicts, cognitive proximity is
positively correlated with the probability of a merger and acquisition (M&amp;A) but
negatively correlated with the likelihood of an initial public offering (IPO).</t>
  </si>
  <si>
    <t>https://doi.org/10.1007/s00191-024-00860-y</t>
  </si>
  <si>
    <t>Max Berre</t>
  </si>
  <si>
    <t>SSRN</t>
  </si>
  <si>
    <t>While startup valuations are influenced by revenues, risks, age, and macroeconomic conditions, specific
causality is traditionally a black box. Because valuations are not disclosed, roles played by other factors
(industry, geography, and intellectual property) can often only be guessed at. VC valuation research indicates
the importance of establishing a factor-hierarchy to better understand startup valuations and their dynamics,
suggesting the wisdom of hiring data-scientists for this purpose. Bespoke understanding can be established
via construction of hierarchical prediction models based on decision trees and random forests. These have
the advantage of understanding which factors matter most. In combination with OLS, the also tell us the
circumstances of when specific causalities apply. This study explores the deterministic role of categorical
variables on the valuation of start-ups (i.e. the joint-combination geographic, urban, and sectoral
denomination-variables), in order to be able to build a generalized valuation scorecard approach. Using a
dataset of 1,091 venture-capital investments, containing 1,044 unique EU and EEA, this study examines
microeconomic, sectoral, and local-level impacts on startup valuation. In principle, the study relies on Fixed-
effects and Joint-fixed-effects regressions as well as the analysis and exploration of divergent micro-
populations and fault-lines by means of non-parametric approaches combining econometric and machine-
learning techniques.</t>
  </si>
  <si>
    <t>https://dx.doi.org/10.2139/ssrn.4286915</t>
  </si>
  <si>
    <t>Which Factors Matter Most? Can Startup Valuation be Micro-Targeted?</t>
  </si>
  <si>
    <t>Investigation of the Relationship Between Location and Success in Venture Capital Investments: European Context</t>
  </si>
  <si>
    <t xml:space="preserve">Ana Milena Montesdeoca Breilh,
Ondřej Dvouletý
  </t>
  </si>
  <si>
    <t>Cities</t>
  </si>
  <si>
    <t>Studia Universitatis „Vasile Goldis” Arad – Economics Series</t>
  </si>
  <si>
    <t>Many academic studies explore the relationship between location and the likelihood of a successful outcome of venture capital investments. However, most of these studies are based in the United States. Nevertheless, the existing literature yielded contradicting findings. Some authors claim that the distance between venture capital and startup is crucial in explaining the latter’s venture success. Others find that this is not necessarily the case. This article aims to contribute to the topic by investigating this relationship within the European continent, particularly the countries of Germany, Switzerland, Austria and The Netherlands. The empirical results from the logistic regression estimated using data from Crunchbase covering years 2007-2021, suggest that location’s impact on the startup’s probability of success is negligible. This could mean that the ‘right’ business opportunity can attract investors, despite the geographical distance. The article contributes to the ongoing scholarly debate by providing recommendations for European policymakers.</t>
  </si>
  <si>
    <t>10.2478/sues-2025-0009</t>
  </si>
  <si>
    <t>Venture Capital and Startup Agglomeration</t>
  </si>
  <si>
    <t>Jun Chen, Michael Ewens</t>
  </si>
  <si>
    <t>NBER WORKING PAPER SERIES</t>
  </si>
  <si>
    <t>The paper studies venture capital’s (VC) role in the geographic clustering of high-growth startups.
We exploit a rule change that disproportionately impacted U.S. regions that historically lacked VC
financing via a restriction of banks to invest in the asset class. A one-standard-deviation increase in
VCs’ exposure to the rule led to a 20% decline in fund size and a 10% decrease in the likelihood of
raising a follow-on fund. Startups were not wholly cushioned: financing and valuations declined.
Startups also moved out of impacted states after the rule change, likely exacerbating existing
geographic disparity in entrepreneurship.</t>
  </si>
  <si>
    <t>Local bias in venture capital investments</t>
  </si>
  <si>
    <t>Douglas Cumming, Na Dai</t>
  </si>
  <si>
    <t>This paper examines local bias in the context of venture capital (VC) investments. Based on a
sample of U.S. VC investments between 1980 and June 2009, we find more reputable VCs
(older, larger, more experienced, and with stronger IPO track record) and VCs with broader
networks exhibit less local bias. Staging and specialization in technology industries increase
VCs' local bias. We also find that the VC exhibits stronger local bias when it acts as the lead VC
and when it is investing alone. Finally, we show that distance matters for the eventual
performance of VC investments.</t>
  </si>
  <si>
    <t>10.1016/j.jempfin.2009.11.001</t>
  </si>
  <si>
    <t>https://doi.org/10.1057/s41599-024-03695-x</t>
  </si>
  <si>
    <t>What drives intercity venture capital investment?
A comparative analysis between multiple linear
regression and random forest</t>
  </si>
  <si>
    <t>Delin Du, Jiaoe Wang, Jianjun Li</t>
  </si>
  <si>
    <t>Humanities and Social Sciences Communications</t>
  </si>
  <si>
    <t>Venture capital (VC) significantly contributes to the development of regional economies and fosters innovation. Analyzing the factors that influence VC investments holds key importance. This study employs two methods to ascertain the relative significance of different factors at the city level: the Lindeman, Merenda, and Gold (LMG) approach in multiple linear regression (MLR) and variable importance in random forest (RF) machine learning. The findings reveal that several factors, including economy, finance, innovation, location, and policy, significantly influence VC investments. Both the MLR and RF models highlight the preeminence of economic and financial variables, followed closely by the city’s potential for innovation. Moreover, spatial heterogeneity exists in the importance of these variables. In the economically developed and densely populated eastern regions of China, the financial environment of cities emerges as the most crucial, whereas in the central and western regions, the economy and innovation, respectively, take precedence. This research contributes to a deeper understanding of the distribution of VC investments and offers valuable insights for the development of regional policies.</t>
  </si>
  <si>
    <t>Is venture capital a regional business? The role of
syndication</t>
  </si>
  <si>
    <t>Fritsch, Michael; Schilder, Dirk</t>
  </si>
  <si>
    <t>We investigate whether the supply of Venture Capital (VC) in Germany is driven
by spatial influences. The study is based on information from more than 300 VC
investments made in Germany in the years 2004 and 2005. We find evidence that
the geographical distance between a VC company and the portfolio firm is not an
important factor for German VC investments. Syndication of investments helps to
overcome the problem of distance to portfolio firms if one of the investors is
located close to the investment. Altogether, we find no evidence for a severe
regional equity gap for young and innovative companies in Germany.</t>
  </si>
  <si>
    <t>Working Paper</t>
  </si>
  <si>
    <t>https://hdl.handle.net/10419/27103</t>
  </si>
  <si>
    <t>Does venture capital investment really require spatial proximity?
An empirical investigation</t>
  </si>
  <si>
    <t>Environment and Planning A</t>
  </si>
  <si>
    <t>We examine the role of spatial proximity for venture capital (VC) investments in Germany.
The main database is a survey of seventy-five personal interviews with representatives of different
types of financial institutions. The analysis shows that spatial proximity is much less important for VC
investments than is often believed. The results indicate that telecommunication cannot be regarded as
a means of overcoming the problems of geographical distance. We find that VC suppliers frequently
syndicate investments in distant portfolio firms with partners who are more closely located. The age
of the portfolio firm does not affect the importance of spatial proximity. On the whole, regional
proximity is not a dominant factor in VC partnerships.</t>
  </si>
  <si>
    <t>10.1068/a39353</t>
  </si>
  <si>
    <t>When do venture capital and startups team up? Matching matters</t>
  </si>
  <si>
    <t>Hui Fu, Huilan Qi, Yunbi An</t>
  </si>
  <si>
    <t>Pacific-Basin Finance Journal</t>
  </si>
  <si>
    <t>This paper investigates the timing of venture capital (VC) investment in startups from the
perspective of the matching relationship between VC firms and startups. Using data on VC investments
in China, we find that matching between VCs and startups with similar quality rankings
promotes VC investment in early-stage startups. The promoting effect of balanced matching is
particularly pronounced for private VCs and domestic VCs. In addition, exit market liquidity
strengthens this positive association, as evidenced by the finding that the effect of matching is
more pronounced when the IPO market is open than when it is closed. We further show that
balanced matching between the two parties helps increase the risk-taking by VCs, thereby
enhancing their propensity to invest in early-stage startups.</t>
  </si>
  <si>
    <t>https://doi.org/10.1016/j.pacfin.2024.102361</t>
  </si>
  <si>
    <t>The varying importance of extrinsic factors in the success of startup
fundraising: competition at early-stage and networks at growth-stage</t>
  </si>
  <si>
    <t>Clement Gastaud, Theophile Carniel, Jean-Michel Dalle</t>
  </si>
  <si>
    <t>We address the issue of the factors driving startup success in raising funds. Using the popular and
public startup database Crunchbase, we explicitly take into account two extrinsic characteristics
of startups: the competition that the companies face, using similarity measures derived from the
Word2Vec algorithm, as well as the position of investors in the investment network, pioneering the
use of Graph Neural Networks (GNN), a recent deep learning technique that enables the handling
of graphs as such and as a whole. We show that the different stages of fundraising, early- and
growth-stage, are associated with different success factors. Our results suggest a marked relevance
of startup competition for early stage while growth-stage fundraising is influenced by network
features. Both of these factors tend to average out in global models, which could lead to the false
impression that startup success in fundraising would mostly if not only be influenced by its intrinsic
characteristics, notably those of their founders.</t>
  </si>
  <si>
    <t>This paper aims to investigate the role that diﬀerent forms of proximity
have in the access to Venture Capital (VC) by Innovative Startup Companies
(ISC). By referring to the population of Italian innovative startups, we find that
tangible (spatial) proximity account for this matching, but more in functional
than in geographical terms. Industrial proximity between the two actors
matters too, and makes the role of functional proximity less binding for the
matching. The greatest correlation emerges with respect to a relational kind of
proximity, due to the closeness between partners in organisational and social
terms.</t>
  </si>
  <si>
    <t>Ghinami, Francesca, Montresor, Sandro</t>
  </si>
  <si>
    <t>Institutional distance, geographic distance, and Chinese
venture capital investment: do networks and trust matter?</t>
  </si>
  <si>
    <t>Ying Sophie Huang, Buhui Qiu, Jiajia Wu,
Juan Yao</t>
  </si>
  <si>
    <t>Small Bus Econ</t>
  </si>
  <si>
    <t>This paper studies the effects of institu-
tional distance and geographic distance on Chinese
venture capital (VC) investment and subsequent exit
and further investigates how social capital, that is, net-
works and trust, moderates such effects. We document
significant dampening effects of both institutional and
geographic distances on the likelihood of VC invest-
ment, while such effects are mitigated by the level of
trust. The dampening effect of institutional distance
(geographic distance) on VC investment is enhanced
(weakened) by VC firms’ network strength. These
findings suggest that networks and trust play different
roles in moderating the effects of institutional and geo-
graphic distances on VC investment in China, which
has a unique institutional environment and flourishing
VC industry. Further analysis on exit outcomes shows
that institutional distance leads to lower likelihood of
successful exits, and the dampening effect of institu-
tional distance on the likelihood of successful exits
cannot be mitigated by networks or trust.</t>
  </si>
  <si>
    <t>https://doi.org/10.1007/s11187-023-00751-9</t>
  </si>
  <si>
    <t>Too close to collaborate? How geographic proximity could impede
entrepreneurship and innovation</t>
  </si>
  <si>
    <t>Soumaya Ben Letaifaa, Yves Rabeau</t>
  </si>
  <si>
    <t>Journal of Business Research</t>
  </si>
  <si>
    <t>Numerous studies focus on successful clusters to demonstrate that geographic proximity enables collabora-
tion and innovation. Yet, practitioners still need to understand why some clusters fail to collaborate despite
their geographic proximity. This longitudinal study investigates an ICT public–private innovation cluster that
fails to collaborate and explores how geographic, institutional, organizational, cognitive and social proxim-
ities interplay. The findings show that: (1) social proximity is the most important proximity to achieving col-
laboration; (2) close geographic proximity can be a barrier to social proximity; and (3) geographic distance is
seen as an accelerator of entrepreneurship and innovation. These findings contribute to the literature on clus-
ters and innovation by arguing that contexts of high cognitive, organizational, institutional and geographic
proximities do not facilitate communication and collaboration. Specifically, geographic proximity can have
a negative impact on social proximity. Finally the paper illustrates that clusters created by economic policies
are less prone to innovation compared to spontaneous ecosystems emerging from private entrepreneurial
initiatives.</t>
  </si>
  <si>
    <t>http://dx.doi.org/10.1016/j.jbusres.2013.02.033</t>
  </si>
  <si>
    <t>Assessing the attraction of cities on venture capital from a scaling law perspective</t>
  </si>
  <si>
    <t>Ruiqi Li, Lingyun Lu, Weiwei Gu, Shaodong Ma, Gang Xu,  H. Eugene
Stanley</t>
  </si>
  <si>
    <t>José Martí, Gerardo Trucci</t>
  </si>
  <si>
    <t>There is consensus in the literature about the positive impact of venture capital (VC)
on the performance of VC-backed firms, across different dimensions. Many papers also
highlight that at least part of it is explained by the non-financial value-adding services VC
managers provide to portfolio companies. In this paper, we argue that geographic distance
is a key aspect that affects the impact of these value-adding services on the performance of
investee firms. We analyze the impact of geographic distance on performance on a large
sample of Spanish VC-backed firms. We find that total assets growth is significantly
greater in the case of portfolio firms backed by private venture capitalists that are closer to
the investor’s premises</t>
  </si>
  <si>
    <t>Ron Martin, Christian Berndt, Britta Klagge, Peter Sunley</t>
  </si>
  <si>
    <t>The issue of `equity gaps' has loomed large in recent discussions of enterprise formation and
development, both in the United Kingdom and in Germany. One particularly intriguing, but highly
elusive, aspect of this issue is the question of whether equity gaps have a regional dimension: are
certain regions at a systematic disadvantage with respect to the provision of equity capital? In this
paper, we explore this question in the context of the UK and German venture capital industries,
drawing both on unpublished industry data and on information obtained from original surveys of
venture capital firms in the two countries. We report clear evidence that the venture industries in both
countries are spatially constituted. Despite important national differences, venture capital firms tend
to be concentrated in identifiable clusters and their investment outcomes show clear evidence of
spatial proximity effects; investment is disproportionately concentrated in those regions that also
contain the major clusters of venture capital firms. However, how far this spatial form produces
regional equity gaps is hard to determine. Venture capitalists themselves argue that they do not
intentionally discriminate between regions in their decisionmaking, and many acknowledge the
existence of funding and deal-size gaps but not regional gaps per se. But their perception of project
risk is, nevertheless, regionally sensitive. We argue that the notion of a simple supply gap overlooks
the way in which the localised form of the industry is based on a dynamic learning process in which
demand and supply processes combine with their embeddedness in social networks and individual
perceptions in a mutually reinforcing way. Less-favoured regions, with low investment rates, few local
venture capital firms, and a dearth of experienced specialist intermediaries, may thus be trapped in a
situation of both depressed demand for and supply of venture capital investment.</t>
  </si>
  <si>
    <t>10.1068/a3714</t>
  </si>
  <si>
    <t>Walter W. Powell, Laurel Smith-Doerr</t>
  </si>
  <si>
    <t>Regional Studies</t>
  </si>
  <si>
    <t>The spatial clustering of science and capital:
accounting for biotech rm–venture capital relationships, Reg . Studies 36, 291–305. This paper focuses on the spatial
concentration of two essential factors of production in the commercial eld of biotechnology: ideas and money . The location
of both research-intensive biotech rms and the venture capital rms that fund biotech is highly clustered in a handful of key
U S regions. The commercialization of a new medicine and the nancing of a high-risk start-up rm are both activities that
have an identi able timeline, and often involve collaboration with multiple participants. The importance of tacit knowledge,
face-to-face contact, and the ability to learn and manage across multiple projects are critical reasons for the continuing
importance of geographic propinquity in biotech. Over the period 1988–99, more than half of the U S biotech rms received
locally-based venture funding. Those rms receiving non-local support were older, larger and had moved research projects
further along the commercialization process. Similarly , as venture capital rms grow older and bigger, they invest in more non-local rms. But these patterns have a strong regional basis, with notable diVerences between Boston, New Y ork and W est Coast
money . Biotechnology is unusual in its dual dependence on basic science and venture nancing; other elds in which product
development is not as dependent on the underlying science may have diVerent spatial patterns</t>
  </si>
  <si>
    <t>Proximate (Co-)Working: Knowledge Spillovers and
Social Interactions</t>
  </si>
  <si>
    <t>https://doi.org/10.1287/mnsc.
2022.03555</t>
  </si>
  <si>
    <t>Management Science</t>
  </si>
  <si>
    <t>Maria P. Roche, Alexander Oettl, Christian Catalini</t>
  </si>
  <si>
    <t>We examine the influence of physical proximity on between-start-up knowledge spillovers at one of the largest technology coworking hubs in the United States. Relying on the exogenous assignment of office space to the hub’s 251 start-ups, we find that proximity positively influences knowledge spillovers as proxied by the likelihood of adopting an upstream web technology already used by a peer start-up. This effect is largest for start-
ups within close proximity of each other and quickly decays; start-ups more than 20 meters apart on the same floor are indistinguishable from start-ups on different floors. The main driver of the effect appears to be social interactions. Although start-ups in close proximity
are most likely to participate in social coworking space events together, knowledge spillovers
are greatest between start-ups that socialize but are dissimilar. Ultimately, start-ups
that are embedded in environments that have neither too much nor too little diversity perform
better but only if they socialize.</t>
  </si>
  <si>
    <t>Moritz Sefried &amp; Kristina Uhl</t>
  </si>
  <si>
    <t>Journal of Small Business Management</t>
  </si>
  <si>
    <t>Startups rely on alternative forms of financing, such as crowdinvesting,
as they usually miss reliable credit ratings and bank
loans. We explore the role of geographical distance between
investors and startups, and analyze the role of signals and the
investor-startup-relationship in investment decisions. Using
a unique proprietary dataset from the largest crowdinvesting
platform in Mexico, we show that distance between investors
and startups negatively affects the investment probability and
investment amount. An investor-startup-relationship only
diminishes this correlation in specific instances while observable
signals do in any case. Evidence is in line with the idea that
investors with a close relationship to a startup should be used as
fallback options instead of exclusive investors in startups’ early
development stage. Furthermore, it underscores that signals are
of high importance in modern forms of financing.</t>
  </si>
  <si>
    <t>The role of geographical distance for investment decisions in crowdinvesting</t>
  </si>
  <si>
    <t>Social Capital and Cross-Border Venture Capital Investments in China</t>
  </si>
  <si>
    <t>Yi Tan, Xiaoli Wang, Jason Z. -H. Lee, Kun Shi</t>
  </si>
  <si>
    <t>International Journal of Financial Studies</t>
  </si>
  <si>
    <t>In the context of the Chinese market, foreign cross-border venture capitalists have devised
specific strategies to mitigate the challenges associated with the liabilities of foreignness, such as risks
and information asymmetry. They have strategically leveraged social capital to not only decrease
investment risk but also to influence their investment preferences and behaviors. To investigate
the influence of different types of social capital on the investment decisions of cross-border venture
capitalists, hypotheses are proposed and tested using regression analysis. Our research reveals
several key findings in this regard. Firstly, cross-border venture capitalists with a robust structural
social capital network exhibit a greater propensity to invest in early-stage companies. This suggests
that well-established connections and partnerships within the Chinese entrepreneurial ecosystem
provide a level of comfort and confidence when investing in ventures at their infancy. Interestingly,
relational and cognitive social capital, though undoubtedly valuable, do not significantly impact the
decision to make early-stage investments. Furthermore, we have observed that venture capitalists
with higher levels of structural and cognitive social capital are more inclined to form syndications.
Collaborative partnerships and shared knowledge networks seem to be crucial factors that drive
syndication decisions. Lastly, venture capitalists endowed with substantial structural and relational
social capital tend to allocate larger investment amounts, signifying the influence of business or
personal relationships and network connections on the scale of their investments.</t>
  </si>
  <si>
    <t>https://doi.org/10.1016/j.techfore.2020.120155</t>
  </si>
  <si>
    <t>Xiaoli TIAN, Gang KOU, Weike ZHANG</t>
  </si>
  <si>
    <t>Technological Forecasting &amp; Social Change</t>
  </si>
  <si>
    <t>Distant VCs and IPO performance</t>
  </si>
  <si>
    <t>Jiajia Wu, Carl R. Chen &amp; Ying Sophie Huang</t>
  </si>
  <si>
    <t>Applied Economics</t>
  </si>
  <si>
    <t>This paper investigates the impact of institutional, cultural, and geographical distances between
venture capital (VC) and entrepreneurial firms on the IPO performance of entrepreneurial firms. We
propose that ‘distant’ VCs are more likely to suffer from information asymmetry, which may decrease
their effectiveness in monitoring and adding value. This, in turn, could lead to higher uncertainty and
more severe underpricing in entrepreneurial firms. Our analyses show greater institutional, cultural,
and geographical distances are associated with higher IPO underpricing, while institutional and
cultural distances have a greater impact than the more understood geographical distances. The
adverse effects of distance are amplified for VCs with weaker investment networks and for IPO firms
located in regions with a lower degree of marketization, where access to critical information and
resources is constrained. Our main findings continue in a propensity score matching analysis,
instrumental variables approach, and other robustness checks. Additionally, we provide evidence
that these distances, particularly institutional distance, negatively impact post-IPO market performance,
reinforcing the notion that various distances diminish VCs’ effectiveness.</t>
  </si>
  <si>
    <t>https://doi.org/10.1080/00036846.2025.2514086</t>
  </si>
  <si>
    <t>The Impact of Geographic Distance between Venture Capi-
tal and Start-ups on Operating Performance</t>
  </si>
  <si>
    <t>Yi Lin</t>
  </si>
  <si>
    <t>E3S Web of Conferences</t>
  </si>
  <si>
    <t>China has a vast territory, and the development scale of venture capital varies significantly among diﬀerent regions. The geographical distribution of venture capital is unbalanced, which makes it diﬃcult for venture capital to
choose to invest in local enterprises or cross-regional investment. Many studies have shown that geographical distance is related to the formation of social networks, the strength of information asymmetry and the amount of transaction costs. Therefore, depending on geographical distance, venture capital will
face diﬀerent investment situations, investment costs and investment returns,and entrepreneurial enterprises will therefore receive diﬀerent levels of super-vision, value-added and post-investment management services. Therefore, this
paper analyses the impact of geographical distance between VCs and start-ups on the operating performance of start-ups from a unique geographical distance
perspective, and takes relevant data of listed start-ups from 2009 to 2019 as
samples for empirical test. The study finds that the closer the geographical
distance between VCs and start-ups, the higher the short-term operating per-
formance of start-ups. Geographical distance has an insignificant eﬀect on the
long-term performance of startups. In addition, poor internal control of start-
ups will weaken the positive impact of geographical proximity on operating
performance of start-ups.</t>
  </si>
  <si>
    <t>Effect</t>
  </si>
  <si>
    <t>Turning a curse into a blessing: Contingent effects of geographic
distance on startup–VC partnership performance</t>
  </si>
  <si>
    <t>Jiamin Zhang, Qian Gu</t>
  </si>
  <si>
    <t>Journal of Business Venturing</t>
  </si>
  <si>
    <t>This study aims to unravel the dynamic effect of geographic distance on startup–VC partnership
performance by incorporating the possibility of accessibility improvement triggered by China’s
high-speed railway (HSR) during the partnership. We find that the negative effect of geographic
distance is significantly weakened when HSR becomes available after the startup–VC partnership
formation. We draw on the relational view to explore what types of geographically distant
startup–VC partners can benefit more from HSR technology advancement. Results indicate that
startup–VC partners that rely heavily on knowledge-sharing, have more complementary resources,
or have more complex governance structures can better leverage the improved accessibility
from HSR to transform the disadvantages of the long-distance to advantages.</t>
  </si>
  <si>
    <t>https://doi.org/10.1016/j.jbusvent.2021.106108</t>
  </si>
  <si>
    <t>Link</t>
  </si>
  <si>
    <t>https://drive.google.com/file/d/1pajWjXzjaEtyzb9_kt0zBBSWHC6Z5evL/view?usp=share_link</t>
  </si>
  <si>
    <t>https://drive.google.com/file/d/1KjDteUdeWOmZb2ofwHQYkNJ-GQwDrl5g/view?usp=share_link</t>
  </si>
  <si>
    <t>https://drive.google.com/file/d/13ItYVXI0gbHHn4BaJTSyEz4fUGpsc8sw/view?usp=share_link</t>
  </si>
  <si>
    <t>https://drive.google.com/file/d/1n8X5HofWKXTOIhEFd9lPtYqBb8Od8zfb/view?usp=share_link</t>
  </si>
  <si>
    <t>https://drive.google.com/file/d/1e58gtQELMKe-1y-92cQh1K0-7z2WSBJ6/view?usp=share_link</t>
  </si>
  <si>
    <t>https://drive.google.com/file/d/1OOE-T2dgz0Z9xzGB8GmJ4YrCzGE-9XRD/view?usp=share_link</t>
  </si>
  <si>
    <t>https://drive.google.com/file/d/1_pLuYNvHfZuzqbvKJHOMtL30v3h0QlKE/view?usp=share_link</t>
  </si>
  <si>
    <t>https://drive.google.com/file/d/1laizOX0EEqTSCF08624w3Ez5aOY1k0Wt/view?usp=share_link</t>
  </si>
  <si>
    <t>https://drive.google.com/file/d/1FXZPSx5Y8xSS1SD85W8Md_8SNYRdgCHC/view?usp=share_link</t>
  </si>
  <si>
    <t>https://drive.google.com/file/d/1bBXgNJ_igNjBxvp568wndd-TjhJUsuZ7/view?usp=share_link</t>
  </si>
  <si>
    <t>https://drive.google.com/file/d/1UkbbQAz24ObIY6RgVIF7iGuR4XvnXn41/view?usp=share_link</t>
  </si>
  <si>
    <t>https://drive.google.com/file/d/1i0PNK06GY-eKnn29dxBz3TNMb9w3ckv6/view?usp=share_link</t>
  </si>
  <si>
    <t>https://drive.google.com/file/d/1NzS-awIeLRvtgBvNIItNUNKwxrvlJLAM/view?usp=share_link</t>
  </si>
  <si>
    <t>https://drive.google.com/file/d/1iD_2x0QR7x_2JNiN66COpAS1mHWEmRj_/view?usp=share_link</t>
  </si>
  <si>
    <t>https://drive.google.com/file/d/1at_FS4Cfqh5a45KTqhqQ7yQxs0Il23mj/view?usp=sharing</t>
  </si>
  <si>
    <t>https://drive.google.com/file/d/1KUR1KB-JyKAAlvTnin7z7YfJuYUT_wm6/view?usp=sharing</t>
  </si>
  <si>
    <t>https://drive.google.com/file/d/1EnTo_b0hBAVgjHuYXii7emUT5l746w_2/view?usp=sharing</t>
  </si>
  <si>
    <t>https://drive.google.com/file/d/1i755zsr8l1u4xUJPGdlMhYduz6xmzffi/view?usp=sharing</t>
  </si>
  <si>
    <t>https://drive.google.com/file/d/1oW2sV5_M1cGkKDZ77Dwr58gbmSwXOx4g/view?usp=sharing</t>
  </si>
  <si>
    <t>https://drive.google.com/file/d/11j48MbL2pryclHDu24zdJ9lsA9nClMfA/view?usp=sharing</t>
  </si>
  <si>
    <t>Geographic distance, venture capital and technological performance:
Evidence from Chinese enterprises</t>
  </si>
  <si>
    <t>https://drive.google.com/file/d/1qld3D5ifw5a5xk3tC6mvyU5ErRBCZeqh/view?usp=sharing</t>
  </si>
  <si>
    <t>https://drive.google.com/file/d/1oecL6a75A39IA_7UjvaKanqqhQyx-BZE/view?usp=sharing</t>
  </si>
  <si>
    <t>https://drive.google.com/file/d/1drm0iuaqvS0nUdctZg6DbX_U5KTmgDj0/view?usp=sharing</t>
  </si>
  <si>
    <t>https://drive.google.com/file/d/1BFd_WB9du89tbuPkPEvDjrE3r9DxyjFw/view?usp=sharing</t>
  </si>
  <si>
    <t>https://drive.google.com/file/d/1GB2CqR5zMIGFRJ649uQYWlgKCXQYr40z/view?usp=sharing</t>
  </si>
  <si>
    <t>Tangible and intangible proximities in the access to Venture Capital: evidence from Italian innovative start-ups</t>
  </si>
  <si>
    <t>The Spatial Clustering of Science and Capital: Accounting for Biotech Firm-Venture Capital Relationships</t>
  </si>
  <si>
    <t>To Shine or Not to Shine: Startup Success Prediction by Exploiting
Technological and Venture-Capital-Related Features</t>
  </si>
  <si>
    <t>Chih-Ping Wei , Evana Szu-Han Fang , Chin-Sheng Yang ,
Pin-Jun Liu</t>
  </si>
  <si>
    <t>Information &amp; Management</t>
  </si>
  <si>
    <t>Startups play a crucial role in driving economic growth, job creation, regional development, and
technological innovation. However, they often encounter risks stemming from uncertainties in
technology, unfamiliar markets, and limited resources. Given these challenges, effectively
predicting startup success, defined as achieving a successful exit within a specific observation
window, is vital for shaping investment decisions and facilitating the strategy formulation of
stakeholders such as venture capitalists and startups themselves. In this study, we are interested in
startups in high-tech industries. Existing startup success prediction research primarily focuses on
exploiting features related to company profile, funding, founder, and top management team, and
pays less attention to technological and venture-capital-related (VC-related) features that are
prominent to high-tech startups. Furthermore, prior studies do not assess the effectiveness of
startup success prediction over different prediction time points. To address these gaps, we design
a startup success prediction method that incorporates three categories of features: basic,
technological, and VC-related. For empirical evaluation purposes, we collected a dataset
comprising 4,415 startup cases and their corresponding feature values from the Securities Data
Company’s VentureXpert database and the USPTO database. Our evaluation results indicate the
superiority of our method over the literature model, suggesting the predictive value of our proposed
technological and VC-related features. Our results also show that the VC-related features are more salient in predicting high-tech startup success than the technological and basic features. Finally,
our exploratory study of the deep learning approach reveals that using deep learning (e.g., graph
convolutional network) to extract VC features automatically may not enhance prediction
effectiveness at the very early stage of startups but shows a potential advantage over statistical and machine learning methods at a later prediction time point due to the increased number of VCs
investing in the startups.</t>
  </si>
  <si>
    <t>https://doi.org/10.1016/j.im.2025.104152</t>
  </si>
  <si>
    <t>https://drive.google.com/file/d/1CpVQEBnORxKtEY0YgEZI6x_K5_LnBWUT/view?usp=sharing</t>
  </si>
  <si>
    <t>A fused large language model for predicting startup success</t>
  </si>
  <si>
    <t>Abdurahman Maarouf,  Stefan Feuerriegel, Nicolas Pröllochs</t>
  </si>
  <si>
    <t>European Journal of Operational Research</t>
  </si>
  <si>
    <t>Investors are continuously seeking profitable investment opportunities in startups and, hence, for effective
decision-making, need to predict a startup’s probability of success. Nowadays, investors can use not only
various fundamental information about a startup (e.g., the age of the startup, the number of founders, and
the business sector) but also textual description of a startup’s innovation and business model, which is widely
available through online venture capital (VC) platforms such as Crunchbase. To support the decision-making
of investors, we develop a machine learning approach with the aim of locating successful startups on VC
platforms. Specifically, we develop, train, and evaluate a tailored, fused large language model to predict startup
success. Thereby, we assess to what extent self-descriptions on VC platforms are predictive of startup success.
Using 20,172 online profiles from Crunchbase, we find that our fused large language model can predict startup
success, with textual self-descriptions being responsible for a significant part of the predictive power. Our work
provides a decision support tool for investors to find profitable investment opportunities.</t>
  </si>
  <si>
    <t>https://doi.org/10.1016/j.ejor.2024.09.011</t>
  </si>
  <si>
    <t>https://drive.google.com/file/d/1IHdmyOwRHPYCjx0gKdJAMXK38zTLll2P/view?usp=sharing</t>
  </si>
  <si>
    <t>Machine Learning About Venture Capital Choices</t>
  </si>
  <si>
    <t>We study early-stage venture capitalists’ (VCs) decisions through the lens of a predictive
model of venture success. Using French administrative data on VC-backed and non-VC-backed
companies, we find that VCs invest in some companies that perform predictably poorly and pass
on others that perform predictably well. VCs tend to select entrepreneurs whose features are
representative of success – such as being male, graduates of elite schools, and based in Paris.
Although entrepreneurs with these characteristics exhibit higher success rates, VCs exaggerate
the importance of these features relative to their impact on performance, contributing to the
narrowness of the VC industry.</t>
  </si>
  <si>
    <t>Victor Lyonnet, Lea Stern</t>
  </si>
  <si>
    <t>https://drive.google.com/file/d/1yvVcfA26oNvDc0dHioVcKh8KVz14so6K/view?usp=sharing</t>
  </si>
  <si>
    <t>Startup Success Prediction with PCA-Enhanced Machine Learning Models</t>
  </si>
  <si>
    <t>Youngkeun Choi</t>
  </si>
  <si>
    <t>J. Technol. Manag. Innov.</t>
  </si>
  <si>
    <t>This study evaluates the effectiveness of various machine learning algorithms in predicting startup success and explores the performance improve-
ment achieved by applying Principal Component Analysis (PCA) to the models. By analyzing logistic regression, support vector classifier (SVC),
XGBoost, and other supervised learning algorithms, the study demonstrates that PCA enhances the generalization performance of most models.
Notably, Support Vector Classifier (SVC) showed an accuracy of 0.78, precision of 0.83, recall of 0.73, and F1 score of 0.74 without PCA, but
performance significantly improved with PCA, recording an accuracy of 0.90, precision of 0.90, recall of 0.89, and F1 score of 0.89. Academically,
this research contributes to the literature by examining how dimension reduction can boost the accuracy of machine learning models for startup
success prediction, providing a valuable intersection of machine learning and venture capital studies. Practically, it offers investors AI-driven de-
cision-making tools to enhance the precision of investment evaluations and better identify startups with high growth potential. Despite its contri-
butions, this study is limited by the specific dataset used, suggesting that future research could explore various datasets and alternative dimension
reduction techniques. Future studies could also assess real-time data application and incorporate deep learning models to improve predictive
performance in startup success evaluation.</t>
  </si>
  <si>
    <t>https://drive.google.com/file/d/1xumTNm8EzSkGSvyg6CI-Mj4BUIeTKlKW/view?usp=sharing</t>
  </si>
  <si>
    <t>Predicting the success of startups using a machine learning approach</t>
  </si>
  <si>
    <t>Mona Razaghzadeh Bidgoli, Iman Raeesi Vanani, Mehdi Goodarzi</t>
  </si>
  <si>
    <t>Journal of Innovation and Entrepreneurship</t>
  </si>
  <si>
    <t>Successful investment in early-stage companies has high uncertainty. More specifcally,
the tools available to investors need to be more robust to reduce the risk and man-
age the uncertainty of startups. This research aims to use machine learning methods
to design a prediction solution to identify successful startups for investors. In order
to design the predicting solution and provide policies, classifcation, and clustering
algorithms have been utilized to predict the success of startups and perform feature
importance analysis based on the SHAP and permutation methods. Subsequently,
the performance of four classifcation algorithms, such as Random Forest, Gradient
Boost, Multilayer Perceptron, Logistic Regression and Support Vector Machine, are com-
pared to predict business success. Meanwhile, Random Forest and Gradient Boosting
algorithms showed the best accuracy, which was equal to 82% and 80%, respectively.
Based on the feature importance of Random Forest and Gradient Boosting, which
is obtained from the SHAP method, indicated that the higher values of“Number
of followers on LinkedIn”, “Number of employees on LinkedIn”, “Number of followers
on Twitter”, and“Last raised amount” have higher SHAP values and a more signifcant
impact on the model output. Three clustering algorithms including hierarchy, K-means,
and DBSCAN were also compared. Among them, the K-means algorithm performs best
with 72% silhouette, and K-means was employed to explain each cluster’s charac-
teristics. Finally, an efective artifcial intelligence-based prediction solution has been
proposed to show the way for investors to apply machine learning concepts to predict
the success of startups.</t>
  </si>
  <si>
    <t>https://doi.org/10.1186/s13731-024-00436-x</t>
  </si>
  <si>
    <t>https://drive.google.com/file/d/1r-pL__SrDDb3c3EsDMruamID6N64CX7c/view?usp=sharing</t>
  </si>
  <si>
    <t>Making it into a successful series A funding: An analysis of Crunchbase and LinkedIn data</t>
  </si>
  <si>
    <t>Yiea-Funk Te, Michele Wieland, Martin Frey,  Asya Pyatigorskaya, Penny Schiffer, Helmut Grabner</t>
  </si>
  <si>
    <t>The Journal of Finance and Data Science</t>
  </si>
  <si>
    <t>Startups are a key force driving economic development, and the success of these high-risk ventures
can bring huge profits to venture capital firms. The ability to predict the success of startups is a
major advantage for investors to outperform their competitors. In this study, we explore the po-
tential of using publicly available LinkedIn profiles as an alternative and complementary data
source to Crunchbase for predicting startup success. We provide a comprehensive review of the
existing literature on the factors that influence startup success to create a large set of features for
predictive modeling. We train two models for predicting startup success employing light gradient
boosting that use LinkedIn data as a standalone and as a complementary data source, and compare
them to baseline models based on Crunchbase data. We show that using LinkedIn as a comple-
mentary data source yields the best result with a mean area under the curve (AUC) value of 84%.
We also provide a thorough analysis of what types of information contribute most to modeling
startup success using the Shapley value method. Our models and analysis can be used to develop a
decision support system to facilitate startup screening and the due diligence process for venture
capital firms.</t>
  </si>
  <si>
    <t>https://doi.org/10.1016/j.jfds.2023.100099</t>
  </si>
  <si>
    <t>https://drive.google.com/file/d/10I_XFQ64Zby9qpJcsu9qcwW--OF-Qgpp/view?usp=sharing</t>
  </si>
  <si>
    <t>Predicting New Venture Gestation Outcomes With
Machine Learning Methods</t>
  </si>
  <si>
    <t>Paris Koumbarakis, Thierry Volery</t>
  </si>
  <si>
    <t>This study explores the use of machine learning methods to
forecast the likelihood of firm birth and firm abandonment
during the first five years of a new business gestation. The
predictability of traditional logistic regression is compared
with several machine learning methods, including logistic
regression, k-nearest neighbors, random forest, extreme gra-
dient boosting, support vector machines, and artificial neural
networks. While extreme gradient boosting shows the best
overall model performance, neural networks provide good
results by correctly classifying entrepreneurs who have not
abandoned their business venture in the early stage of the
gestation process. In addition, this study provides valuable
insights in relation to the start-up activities leading to firm
emergence. Entrepreneurs who perform a greater number of
activities and who can orchestrate them at the right rate,
concentration, and time are more likely to successfully launch
a new business venture.</t>
  </si>
  <si>
    <t>https://doi.org/10.1080/00472778.2022.2082453</t>
  </si>
  <si>
    <t>https://drive.google.com/file/d/1QCaWBlcAPJ-OobcqtMkcGQ2qPdzMpWdE/view?usp=sharing</t>
  </si>
  <si>
    <t>How to succeed in the market? Predicting startup success using a machine
learning approach</t>
  </si>
  <si>
    <t>Jongwoo Kim , Hongil Kim , Youngjung Geum</t>
  </si>
  <si>
    <t>Predicting startup success is a critical task for startup entrepreneurs and investors. Previous studies focused only
on the internal conditions of startups and did not extensively consider the effects of industry characteristics on
startup success. To fill this research gap, this study proposes a model for predicting startup success, which
considers the external environment and internal conditions. A machine learning model for predicting the success
of a firm was developed, incorporating industry characteristics. Data were collected from 218,207 companies in
Crunchbase from January 2011 to July 2021. After data preprocessing, six machine learning models were used to
predict startup success and identify features significant for the prediction. Feature importance was also calcu-
lated to determine how each feature affects startup success prediction. The results indicate that media exposure,
monetary funding, industry convergence level, and industry association level are significant for determining
startup success.</t>
  </si>
  <si>
    <t>https://doi.org/10.1016/j.techfore.2023.122614</t>
  </si>
  <si>
    <t>https://drive.google.com/file/d/15JCBifj3eCWNT7llb9std6InjBM96mLP/view?usp=sharing</t>
  </si>
  <si>
    <t>Improving Startup Success with Text Analysis</t>
  </si>
  <si>
    <t>Emily Gavrilenko, Foaad Khosmood, Mahdi Rastad, Sadra Amiri Moghaddam</t>
  </si>
  <si>
    <t>Investors are interested in predicting future success of startup com-
panies, preferably using publicly available data which can be gath-
ered using free online sources. Using public-only data has been
shown to work, but there is still much room for improvement. Two
of the best performing prediction experiments use 17 and 49 fea-
tures respectively, mostly numeric and categorical in nature. In this
paper, we significantly expand and diversify both the sources and
the number of features (to 171) to achieve better prediction. Data
collected from Crunchbase, the Google Search API, and Twitter
(now X) are used to predict whether a company will raise a round
of funding within a fixed time horizon. Much of the new features
are textual and the Twitter subset include linguistic metrics such
as measures of passive voice and parts-of-speech. A total of ten
machine learning models are also evaluated for best performance.
The adaptable model can be used to predict funding 1-5 years into
the future, with a variable cutoff threshold to favor either preci-
sion or recall. Prediction with comparable assumptions generally
achieves F scores above 0.730 which outperforms previous attempts
in the literature (0.531), and does so with fewer examples. Further-
more, we find that the vast majority of the performance impact
comes from the top 18 of 171 features which are mostly generic
company observations, including the best performing individual
feature which is the free-form text description of the company.</t>
  </si>
  <si>
    <t>https://drive.google.com/file/d/1j4HlJy4s2kMoR_w9DOuFKY-rPtGOxwfi/view?usp=sharing</t>
  </si>
  <si>
    <t>Data Driven Analysis for Startup Investments for Venture Capitalists</t>
  </si>
  <si>
    <t>Jaiesh Singhal,  Chinmayi Rane, Yash Wadalkar, Mohit Joshi, Amol Deshpande</t>
  </si>
  <si>
    <t>2022 International Conference for Advancement in Technology (ICONAT)</t>
  </si>
  <si>
    <t>Abstract—Startups are becoming an increasingly appealing
investment opportunity for Venture Capital firms and Angel in-
vestors. However, in order to make educated judgments, investors
must do many rigorous assessments from inception, including be-
havioural analysis, Founder’s analysis, and product or prototype
analysis. Because the success rate of these investments is often
less than 10%, a significant amount of effort is spent evaluating
the businesses. Predicting which start-ups will eventually thrive
is critical for venture capitalists and governments throughout
the world, especially at a time when the benefits might be
exponential. The background of the founders has a significant
impact on the success of early stage enterprises. For a mid-
or late-stage enterprise, however, the capital collected from the
seed and series stages is critical. To create comprehensive data-
driven suggestions, many machine learning algorithms have been
developed and deployed using the founder’s data. We created our
initiative at a time when the startup environment throughout
the world has exploded, with India alone boasting more than
20 unicorn businesses in the previous year. The government
has also encouraged young people to create enterprises and
enhance job prospects in our country. As a result, the project is
particularly significant in addressing the issues faced by venture
capitalists and angel investors, as fundraising is the lifeblood of
any company in order for it to exist until it starts producing
money.</t>
  </si>
  <si>
    <t>https://drive.google.com/file/d/1Yfym59gqWo-JPhs_zCV7OVe6JyChav5i/view?usp=sharing</t>
  </si>
  <si>
    <t>A machine learning, bias-free approach for predicting business
success using Crunchbase data</t>
  </si>
  <si>
    <t>Kamil Żbikowski, Piotr Antosiuk</t>
  </si>
  <si>
    <t>Information Processing and Management</t>
  </si>
  <si>
    <t>Predicting the success of a business venture has always been a struggle for both practitioners and
researchers. However, thanks to companies that aggregate data about other firms, it has become
possible to create and validate predictive models based on an unprecedented amount of real-
world examples. In this study, we use data obtained from one of the largest platforms integrating
business information – Crunchbase. Our final training set consisted of 213 171 companies.
This work aims to create a predictive model based on machine learning for the purpose of
forecasting a company’s success. Many similar attempts have been made in recent years. Plenty
of those experiments, often conducted with the use of data gathered from several different
sources, reported promising results. However, we found that very often they were significantly
biased by their use of data containing information that was a direct consequence of a company
reaching some level of success (or failure). Such an approach is a classic example of the look-
ahead bias. It leads to very optimistic test results, but any attempt at using such an approach
in a real-world scenario may result in dramatic consequences. We designed our experiments in
a way that would prevent the leaking of any information unavailable at the decision moment
to the training set.
We compared three algorithms – logistic regression, support vector machine, and the
gradient boosting classifier. Despite the conscious decision to limit the number of predictors,
we reached very promising results in terms of precision, recall, and F1 scores which, for the
best model, were 57%, 34%, and 43% respectively. The best outcomes were obtained with
the gradient boosting classifier. We give detailed information about the importance of different
features, with the top three being country and region that the company operates in and the
company’s industry. Our model can be applied directly as a decision support system for different
types of venture capital funds.</t>
  </si>
  <si>
    <t>https://doi.org/10.1016/j.ipm.2021.102555</t>
  </si>
  <si>
    <t>https://drive.google.com/file/d/1cF5k-HNTw6DF4VjS_HrxyFxP_MKBvvDg/view?usp=sharing</t>
  </si>
  <si>
    <t>A Machine Learning Approach to Detect Early Signs of Startup</t>
  </si>
  <si>
    <t>Thirupathi, Alhanai, Ghassemi</t>
  </si>
  <si>
    <t>ICAIF’21</t>
  </si>
  <si>
    <t>In this study, we investigate a heterogeneous set of startup ven-
tures (different ages, products, teams, levels of maturity, etc.) to
identify the time-independent factors associated with their future
success. More specifically, we investigated 3,160 unique companies,
all of which were recipients of Small Business Innovation Research
(SBIR) or Small Business Technology Transfer (STTR) awards. For
each company, we collected any publicly available information: the
SBIR/STTR award (amount, agency, principal investigator, etc.), and
Crunchbase business profile. The collected data were used to train
a XGBoost model that predicts whether a company had an initial
public offering (IPO), and/or merged with, and/or was acquired by
another entity (M&amp;A). The performance of the model assessed using
leave one-out-cross validation (LOOCV) was strong: 84% accuracy
and 0.91 AUC. We found that employees with entrepreneurial expe-
rience, arts, and/or STEM educational backgrounds, among other
characteristics played a significant role in predicting the success of
small businesses. Our results indicate that machine learning models
may be used to assess the viability of small ventures.</t>
  </si>
  <si>
    <t>https://doi.org/10.1145/3490354.3494374</t>
  </si>
  <si>
    <t>https://drive.google.com/file/d/1k3XyxCy1PSfSmUG3j0GGeftbw31AZpZ-/view?usp=sharing</t>
  </si>
  <si>
    <t>CapitalVX: A machine learning model for startup selection and exit prediction</t>
  </si>
  <si>
    <t>Greg Ross, Sanjiv Das, Daniel Sciro, Hussain Raza</t>
  </si>
  <si>
    <t>Using a big data set of venture capital financing and related startup firms from Crunchbase, this paper develops a machine-
learning model called CapitalVX (for “Capital Venture eXchange”) to predict the outcomes for startups, i.e., whether they will
exit successfully through an IPO or acquisition, fail, or remain private. Using a large feature set, the out-of-sample accuracy of
predictions on startup outcomes and follow-on funding is 80e89%. This research suggests that VC/PE firms may be able to benefit
from using machine learning to screen potential investments using publicly available information, diverting this time instead into
mentoring and monitoring the investments they make.</t>
  </si>
  <si>
    <t>https://doi.org/10.1016/j.jfds.2021.04.001</t>
  </si>
  <si>
    <t>https://drive.google.com/file/d/1FpTTLB7Dq8q6Es2c5DusrbeyTf2xCkvU/view?usp=sharing</t>
  </si>
  <si>
    <t>Graph Neural Network Based VC Investment Success Prediction</t>
  </si>
  <si>
    <t>Lyu et al.</t>
  </si>
  <si>
    <t>Predicting the start-ups that will eventually succeed is essentially
important for the venture capital business and worldwide policy
makers, especially at an early stage such that rewards can possibly
be exponential.
Though various empirical studies and data-driven modeling
work have been done, the predictive power of the complex networks
of stakeholders including venture capital investors, start-ups, and
start-ups’ managing members has not been thoroughly explored.
We design an incremental representation learning mechanism and
a sequential learning model, utilizing the network structure to-
gether with the rich attributes of the nodes. In general, our method
achieves the state-of-the-art prediction performance on a compre-
hensive dataset of global venture capital investments and surpasses
human investors by large margins. Specifically, it excels at predict-
ing the outcomes for start-ups in industries such as healthcare and
IT. Meanwhile, we shed light on impacts on start-up success from
observable factors including gender, education, and networking,
which can be of value for practitioners as well as policy makers
when they screen ventures of high growth potentials.</t>
  </si>
  <si>
    <t>https://drive.google.com/file/d/1OpzcFhLwN2hOxrh_WUNH0kNGs5dU1MF8/view?usp=sharing</t>
  </si>
  <si>
    <t>Finding the Next Unicorn: When Big Data Meets Venture Capital</t>
  </si>
  <si>
    <t>Weibl, Hess</t>
  </si>
  <si>
    <t>52nd Hawaii International Conference on System Sciences</t>
  </si>
  <si>
    <t>Venture capital (VC) has been growing rapidly in
recent years. So far the screening and evaluation of
potential startups as investment objects largely
depends on the venture capitalist’s personal
experience, network and qualitative evaluations. In
the era of big data, the advent of new data sources
and analytic techniques enables a data-driven
investment process. Grounded in systems theory and
the theory of complementarity, this study reports the
findings from an exploratory study of 13 VC firms
that synthesize and use novel data sources. Our
analysis shows that the data-driven approach, in
particular, impacts the deal origination and
screening stages of investment. It leads to
informational and transactional benefits, which
lower operational costs in the short term and enlarge
the potential return on investment of a VC firm in the
long term. We contribute to the literature by shedding
light on how various data sources complementarily
lead to additional business value.</t>
  </si>
  <si>
    <t>https://hdl.handle.net/10125/59547</t>
  </si>
  <si>
    <t>https://drive.google.com/file/d/1DTwFYZ1ovIryTQY_hfpRlvLwaT-HGW4L/view?usp=sharing</t>
  </si>
  <si>
    <t>Assessment of Machine Learning Performance for
Decision Support in Venture Capital Investments</t>
  </si>
  <si>
    <t>Arroyo et al.</t>
  </si>
  <si>
    <t>IEEE</t>
  </si>
  <si>
    <t>10.1109/ACCESS.2019.2938659</t>
  </si>
  <si>
    <t>The venture capital (VC) industry offers opportunities for investment in early-stage companies
where uncertainty is very high. Unfortunately, the tools investors currently have available are not robust
enough to reduce risk and help them managing uncertainty better. Machine learning data-driven approaches
can bridge this gap, as they already do in the hedge fund industry. These approaches are now possible
because data from thousands of companies over the world is available through platforms such as Crunchbase.
Previous academic efforts have focused only on predicting two classes of exits, i.e., being acquired by
other company or offering shares to the public, using only one or a few subsets of explanatory variables.
These events are typically related to high returns, but also higher risk, making hard for a venture fund to get
repeatable and sustainable returns. On the contrary, we will try to predict more possible outcomes including a
subsequent funding round or the closure of the company using a large set of signals. In this way, our approach
would provide VC investors with more information to set up a portfolio with lower risk that may eventually
achieve higher returns than those based on finding unicorns (i.e., companies with a valuation higher than one
billion dollars). We will analyze the performance of several machine learning methods in a dataset of over
120,000 early-stage companies in a realistic setting that tries to predict their progress in a 3-year time window.
Results show that machine learning can support venture investors in their decision-making processes to find
opportunities and better assessing the risk of potential investments.</t>
  </si>
  <si>
    <t>https://drive.google.com/file/d/1DeeqnNggzUVmK-4LUUI_zPp77og2GlVP/view?usp=sharing</t>
  </si>
  <si>
    <t>Predicting the Outcome of Startups: Less Failure, More Success.</t>
  </si>
  <si>
    <t>Amar Krishna, Ankit Agrawal, Alok Choudhar</t>
  </si>
  <si>
    <t>2016 IEEE 16th International Conference on Data Mining Workshops</t>
  </si>
  <si>
    <t>On an average 9 out of 10 startups fail(industry standard).
Several reasons are responsible for the failure of a startup
including bad management, lack of funds, etc. This work
aims to create a predictive model for startups based on many
key things involved at various stages in the life of a startup.
It is highly desirable to increase the success rate of startups
and not much work have been done to address the same.
We propose a method to predict the outcome of a startups
based on many key factors like seed funding amount, seed
funding time, Series A funding, factors contributing to the
success and failure of the company at every milestone. We
can have created several models based on the data that
we have carefully put together from various sources like
Crunchbase, Tech Crunch, etc.
Several data mining classification techniques were used
on the preprocessed data along with various data mining
optimizations and validations. We provide our analysis
using techniques such as Random Forest, ADTrees, Bayesian
Networks, and so on. We evaluate the correctness of our
models based on factors like area under the ROC curve,
precision and recall. We show that a startup can use our
models to decide which factors they need to focus more on,
in order to hit the success mark.</t>
  </si>
  <si>
    <t>10.1109/ICDMW.2016.103</t>
  </si>
  <si>
    <t>https://drive.google.com/file/d/1m5AYo8DZKxLkeTxsdx2fp9eJ8avsLlVR/view?usp=sharing</t>
  </si>
  <si>
    <t>The persistent effect of initial success: Evidence from venture
capital</t>
  </si>
  <si>
    <t>Ramana Nanda, Sampsa Samila, Olav Sorensonc</t>
  </si>
  <si>
    <t>Journal of Financial Economics</t>
  </si>
  <si>
    <t>We use investment-level data to study performance persistence in venture capital (VC).
Consistent with prior studies, we find that each additional initial public offering (IPO)
among a VC firm’s first ten investments predicts as much as an 8% higher IPO rate on its
subsequent investments, though this effect erodes with time. In exploring its sources, we
document several additional facts: successful outcomes stem in large part from investing
in the right places at the right times; VC firms do not persist in their ability to choose the
right places and times to invest; but early success does lead to investing in later rounds
and in larger syndicates. This pattern of results seems most consistent with the idea that
initial success improves access to deal flow. That preferential access raises the quality of
subsequent investments, perpetuating performance differences in initial investments.</t>
  </si>
  <si>
    <t>https://doi.org/10.1016/j.jfineco.2020.01.004</t>
  </si>
  <si>
    <t>https://drive.google.com/file/d/1fDXE4ppL1V3RzZFpUhHZ0ZiYY3o3_mAh/view?usp=sharing</t>
  </si>
  <si>
    <t>HIDDEN IN PLAIN SIGHT: VENTURE GROWTH WITH OR WITHOUT VENTURE CAPITAL</t>
  </si>
  <si>
    <t>Catalini et al.</t>
  </si>
  <si>
    <t>The majority of IPOs and acquisitions are achieved without venture capital financing, yet
research has focused mostly on VC backed firms. Using founding choices and a predictive
analytics approach on virtually all US registered businesses, we shed light into these “missing”
growth firms. Founding choices that predict raising venture capital also strongly predict equity
exits without VC. Firms with growth potential are similar to each other, irrespective of funding
source. Moreover, matching firms that are born with identical observables, but only differ in
whether they receive venture capital, suggests an upper bound to the returns to venture capital of
600%.</t>
  </si>
  <si>
    <t>https://drive.google.com/file/d/1TjWYPKlD8Tf-J_smjpmL_MqE-TexFdKO/view?usp=sharing</t>
  </si>
  <si>
    <t>Venture-Backed Firms:
How Does Venture
Capital Involvement
Affect Their Likelihood
of Going Public or
Being Acquired?</t>
  </si>
  <si>
    <t>Ragozzino, Blevins</t>
  </si>
  <si>
    <t>Entrepreneurship Theory and Practice</t>
  </si>
  <si>
    <t>This paper investigates how venture capitalists’ involvement in new ventures affects the likelihood of entrepreneurial exit, either via an acquisition or via an initial public offering. We examine the prominence of venture capitals (VCs), the number of VCs invested in a company, as well as the timing, duration, and magnitude of their investments in new ventures. We find that each of these dimensions directly explains entrepreneurial exit, although their effects tend to differ depending on whether the exit occurs via an acquisition or an initial public offering (IPO). These results withstand several robustness checks and offer a more precise account of how the relationship between new ventures and VC firms unfolds in the early years of the entrepreneurial cycle.</t>
  </si>
  <si>
    <t>https://doi.org/10.1111/etap.12154</t>
  </si>
  <si>
    <t>https://drive.google.com/file/d/1t2Ja9Tv2cl8h6pWxpqSZpDRPG1O6L7CS/view?usp=sharing</t>
  </si>
  <si>
    <t>The impact of venture capital on the productivity growth of
European entrepreneurial firms: ‘Screening’ or ‘value added’ effect?</t>
  </si>
  <si>
    <t>Annalisa Croce, José Martí, Samuele Murtinu</t>
  </si>
  <si>
    <t>We aim to ascertain to what extent the better performance of European venture capital
(VC)‐backed firms in high-tech industries is due to either ‘screening’ or ‘value added’ provided
by VC investors. We compare portfolio firms' productivity growth before and after the first VC
round, using a matched control group as benchmark. We show that productivity growth is not
significantly different between VC and non-VC-backed firms before the first round of VC
financing, whereas significant differences are found in the first years after the investment
event. We also find that the value-adding services provided by VC investors ‘imprint’ the
portfolio firm.</t>
  </si>
  <si>
    <t>doi:10.1016/j.jbusvent.2012.06.001</t>
  </si>
  <si>
    <t>https://drive.google.com/file/d/1OQ0RoO40q2O37rthjSOu1Gosl06T9mHw/view?usp=sharing</t>
  </si>
  <si>
    <t>How Does Venture Capital Financing Improve Efficiency in Private Firms? A Look Beneath the Surface</t>
  </si>
  <si>
    <t>Thomas J. Chemmanur ,  Karthik Krishnan ,  Debarshi K. Nandy</t>
  </si>
  <si>
    <t>We use the Longitudinal Research Database (LRD) of the U.S. Census Bureau, which covers the entire universe of private and public U.S. manufacturing firms, to study several related questions regarding the efficiency gains generated by venture capital (VC) investment in private firms. First, do VCs indeed improve the efficiency (total factor productivity, TFP) of private firms, and if so, are certain kinds of VCs (high reputation vs. low reputation) better at generating such efficiency gains than others? Second, do VCs invest in more efficient firms to begin with (screening), or do they improve efficiency after investment (monitoring)? Third, do efficiency improvements due to VC backing arise from increases in sales or reductions in costs? Fourth, do VC backing and the associated efficiency gains affect the probability of a successful exit (IPO or acquisition)? Our analysis shows that the overall efficiency of VC-backed firms is higher than that of non-VC-backed firms at every point in time. This efficiency advantage of VC-backed firms arises from both screening and monitoring: The efficiency of VC-backed firms prior to receiving financing is higher than that of non-VC-backed firms, and further, the growth in efficiency subsequent to VC financing is greater for such firms. The above increases in efficiency of VC-backed firms are spread over the first two rounds of VC financing after which the TFP of such firms remains constant until exit. Additionally, we show that while the TFP of firms prior to receiving financing is lower for high-reputation VC-backed firms, the increase in TFP subsequent to financing is significantly greater for these firms, consistent with high-reputation VCs having greater monitoring ability. We disentangle the screening and monitoring effects of VC backing using three different methodologies: switching regression with endogenous switching, regression discontinuity analysis, and propensity score matching. We show that while overall efficiency gains generated by VC backing arise primarily from improvements in sales, the efficiency gains of high-reputation VC-backed firms arise also from lower increases in production costs. Finally, we show that VC backing and the associated efficiency gains positively affect the probability of a successful exit.</t>
  </si>
  <si>
    <t>The Review of Financial Studies</t>
  </si>
  <si>
    <t>https://doi.org/10.1093/rfs/hhr096</t>
  </si>
  <si>
    <t>https://drive.google.com/file/d/1bK3ZMdDGex4H86MPIJTM-72hAk4rrGlt/view?usp=sharing</t>
  </si>
  <si>
    <t>Venture capital financing and the growth of high-tech start-ups:
Disentangling treatment from selection effects</t>
  </si>
  <si>
    <t>The financial and innovation literature generally claims that venture capital (VC) investments spur the
growth of new technology-based firms (NTBFs). However, it has proved difficult so far to separate the
“treatment” effect of the VC investment from the “selection” effect attributable to the ability of the VC
investor to screen high growth NTBFs. The aim of this work is to test whether VC investments have a
positive treatment effect on the growth of employment and sales of NTBFs. For this purpose we consider a
10-year longitudinal data set for 538 Italian NTBFs, most of which are privately held. The sample includes
both VC-backed and non-VC-backed firms. We estimate Gibrat-law-type dynamic panel-data models
augmented with time-varying variables that capture the VC status of firms. To control for the endogeneity
of VC investments we use several GMM estimators. The econometric results strongly support the view
that VC investments positively influence firm growth. The treatment effect of VC investments is of large
economic magnitude, especially on growth of employment. Most of it is obtained immediately after the
first round of VC finance. Conversely, the selection effect of VC appears to be negligible in the Italian
context.</t>
  </si>
  <si>
    <t>Research Policy</t>
  </si>
  <si>
    <t>doi:10.1016/j.respol.2011.03.008</t>
  </si>
  <si>
    <t>https://drive.google.com/file/d/19UiaFYePLj_DWG88ALx-yHir671WrqTf/view?usp=sharing</t>
  </si>
  <si>
    <t>Pierre Giot, Armin Schwienbacher</t>
  </si>
  <si>
    <t>Journal of Banking &amp; Finance</t>
  </si>
  <si>
    <t>This paper examines the dynamics of exit options for US venture capital funds. Using a sample of
more than 20,000 investment rounds, we analyze the time to ‘IPO’, ‘trade sale’ and ‘liquidation’ for
6000 VC-backed firms. We model these exit times using competing risks models, which allow for a
joint analysis of exit type and exit timing. The hazard rate for IPOs are clearly non-monotonic with
respect to time. As time flows, VC-backed firms first exhibit an increased likelihood of exiting to an
IPO. However, after having reached a plateau, non-exited investments have fewer possibilities of
IPO exits as time increases. This sharply contrasts with trade sale exits, where the hazard rate is less
time-varying. We further provide evidence on the impact of economic factors such as syndicate size
and composition, geographical location and VC value adding, on exit outcomes.
 2006 Elsevier B.V. All rights reserved.</t>
  </si>
  <si>
    <t>doi:10.1016/j.jbankfin.2006.06.010</t>
  </si>
  <si>
    <t>https://drive.google.com/file/d/1Y-u5CVcnoGQn-Ak8QLZ15StNT9-gltr_/view?usp=sharing</t>
  </si>
  <si>
    <t>Startup Success Factors in the Capital Attraction Stage: Founders’ Perspective</t>
  </si>
  <si>
    <t>Prohorovs, Bistrova</t>
  </si>
  <si>
    <t>Journal of East-West Business</t>
  </si>
  <si>
    <t>Only a small percentage of startups attract capital from ven-
ture capital investors. To determine the factors which owners
of startups consider the most important for attracting seed
venture investments, the founders of 40 startups in Latvia and
Russia were questioned. The researchers compared organiza-
tional and financial factors’ importance for two groups of
entrepreneurs: those who succeeded and those who failed in
attracting funding. The results of the study indicate certain dif-
ferences between the viewpoints of founders and investors
regarding success factors. Based on the factor and regression
analysis, the authors developed a model to forecast success in
capital attraction.</t>
  </si>
  <si>
    <t>10.1080/10669868.2018.1503211</t>
  </si>
  <si>
    <t>https://drive.google.com/file/d/1WQLNYJlOEquxyMw9DkRkZ3Vlvi7KGypz/view?usp=sharing</t>
  </si>
  <si>
    <t>Web-based Startup Success Prediction</t>
  </si>
  <si>
    <t>Sharchilev et al.</t>
  </si>
  <si>
    <t>CIKM '18: Proceedings of the 27th ACM International Conference on Information and Knowledge Management</t>
  </si>
  <si>
    <t>We consider the problem of predicting the success of startup companies at their early development stages. We formulate the task as predicting whether a company that has already secured initial (seed or angel) funding will attract a further round of investment in a given period of time. Previous work on this task has mostly been restricted to mining structured data sources, such as databases of the startup ecosystem consisting of investors, incubators and startups. Instead, we investigate the potential of using web-based open sources for the startup success prediction task and model the task using a very rich set of signals from such sources. In particular, we enrich structured data about the startup ecosystem with information from a business- and employment-oriented social networking service and from the web in general. Using these signals, we train a robust machine learning pipeline encompassing multiple base models using gradient boosting. We show that utilizing companies' mentions on the Web yields a substantial performance boost in comparison to only using structured data about the startup ecosystem. We also provide a thorough analysis of the obtained model that allows one to obtain insights into both the types of useful signals discoverable on the Web and market mechanisms underlying the funding process.</t>
  </si>
  <si>
    <t>https://doi.org/10.1145/3269206.3272011</t>
  </si>
  <si>
    <t>https://drive.google.com/file/d/1eahBBbPcBCbvZCkwVoOb8LX-sj24Wci-/view?usp=sharing</t>
  </si>
  <si>
    <t>A Model for Business Success Prediction using Machine Learning
Algorithms</t>
  </si>
  <si>
    <t>Journal of Physics: Conference Series</t>
  </si>
  <si>
    <t>Ibukun Afolabi et al.</t>
  </si>
  <si>
    <t>A major problem facing a Nation is the inability of business to last for a long period
of time with good returns on investment and profit. This inefficient nature of businesses is
rapidly affecting the growth of its economy. In an attempt to solve this problem this research
provides a business success diagnosis system. The aim of the paper is to presents a design and
implementation of a system for the diagnosis, prediction, and provision of recommendation for
the success of a Business. The methodology used to develop the prediction model is based on
correlation analysis for the data pre-processing and the combination of Naïve Bayes and J48
classification algorithm. Necessary heuristics for the diagnosis were collated from the review
of existing business consulting systems, expert systems and human experts in the field of
business consulting in Nigeria. In conclusion, the developed system will improve the rate of
business success in Nigeria and provide a platform for entrepreneurial improvement in the
Nigerian Economy. Finally the result of the evaluation revealed a great acceptance and
necessity of the developed business diagnosis system.</t>
  </si>
  <si>
    <t>doi:10.1088/1742-6596/1299/1/012050</t>
  </si>
  <si>
    <t>https://drive.google.com/file/d/1WqaXjY9SEACZydCbHHvCLvS-OKT4pDKn/view?usp=sharing</t>
  </si>
  <si>
    <t>Predicting new venture survival: A Twitter-based machine learning
approach to measuring online legitimacy</t>
  </si>
  <si>
    <t>Torben Antretter, Ivo Blohm, Dietmar Grichnik, Joakim Wincent</t>
  </si>
  <si>
    <t>Journal of Business Venturing Insights</t>
  </si>
  <si>
    <t>Research indicates that interactions on social media can reveal remarkably valid predictions
about future events. In this study, we show that online legitimacy as a measure of social
appreciation based on Twitter content can be used to accurately predict new venture survival.
Specifically, we analyze more than 187,000 tweets from 253 new ventures’ Twitter accounts
using context-specific machine learning approaches. Our findings suggest that we can correctly
discriminate failed ventures from surviving ventures in up to 76% of cases. With this study, we
contribute to the ongoing discussion on the importance of building legitimacy online and provide
an account of how to use machine learning methodologies in entrepreneurship research.</t>
  </si>
  <si>
    <t>http://dx.doi.org/10.1016/j.jbvi.2018.e00109</t>
  </si>
  <si>
    <t>https://drive.google.com/file/d/13dthyPWuKCv4seAQuY6PKC5P2GV0IEuT/view?usp=sharing</t>
  </si>
  <si>
    <t>Detecting Indicators for Startup Business Success:
Sentiment Analysis Using Text Data Mining</t>
  </si>
  <si>
    <t>Jose Ramon Saura,  Pedro Palos-Sanchez, Antonio Grilo</t>
  </si>
  <si>
    <t>sustainability</t>
  </si>
  <si>
    <t>The main aim of this study is to identify the key factors in User Generated Content (UGC)
on the Twitter social network for the creation of successful startups, as well as to identify factors for
sustainable startups and business models. New technologies were used in the proposed research
methodology to identify the key factors for the success of startup projects. First, a Latent Dirichlet
Allocation (LDA) model was used, which is a state-of-the-art thematic modeling tool that works
in Python and determines the database topic by analyzing tweets for the #Startups hashtag on
Twitter (n = 35.401 tweets). Secondly, a Sentiment Analysis was performed with a Supervised Vector
Machine (SVM) algorithm that works with Machine Learning in Python. This was applied to the
LDA results to divide the identified startup topics into negative, positive, and neutral sentiments.
Thirdly, a Textual Analysis was carried out on the topics in each sentiment with Text Data Mining
techniques using Nvivo software. This research has detected that the topics with positive feelings for
the identification of key factors for the startup business success are startup tools, technology-based
startup, the attitude of the founders, and the startup methodology development. The negative
topics are the frameworks and programming languages, type of job offers, and the business angels’
requirements. The identified neutral topics are the development of the business plan, the type of
startup project, and the incubator’s and startup’s geolocation. The limitations of the investigation are
the number of tweets in the analyzed sample and the limited time horizon. Future lines of research
could improve the methodology used to determine key factors for the creation of successful startups
and could also study sustainable issues.</t>
  </si>
  <si>
    <t>doi:10.3390/su11030917</t>
  </si>
  <si>
    <t>https://drive.google.com/file/d/1Mu_V5av6B2OgdX11lXuwl2a77wWb58ZI/view?usp=sharing</t>
  </si>
  <si>
    <t>Machine Learning in SME: An Empirical Study on Enablers and Success Factors</t>
  </si>
  <si>
    <t>AMCIS 2020 Proceedings</t>
  </si>
  <si>
    <t>Machine learning (ML) techniques are rapidly evolving, both in academia and practice. However,
enterprises show different maturity levels in successfully implementing ML techniques. Thus, we review
the state of adoption of ML in enterprises. We find that ML technologies are being increasingly adopted in
enterprises, but that small and medium-size enterprises (SME) are struggling with the introduction in
comparison to larger enterprises. In order to identify enablers and success factors we conduct a qualitative
empirical study with 18 companies in different industries. The results show that especially SME fail to apply
ML technologies due to insufficient ML knowhow. However, partners and appropriate tools can
compensate this lack of resources. We discuss approaches to bridge the gap for SME.</t>
  </si>
  <si>
    <t>https://drive.google.com/file/d/17eIaTDqdOQJiTMfc17eLLgXVe_CtZbND/view?usp=sharing</t>
  </si>
  <si>
    <t>Bauer et al.</t>
  </si>
  <si>
    <t>Start-ups survival through a crisis. Combining
machine learning with econometrics to measure
innovation</t>
  </si>
  <si>
    <t>Marco Guerzoni , Consuelo R. Nava &amp; Massimiliano Nuccio</t>
  </si>
  <si>
    <t>Economics of Innovation and New Technology</t>
  </si>
  <si>
    <t>This paper shows how data science can contribute to improving
empirical research in economics by leveraging on large datasets and
extracting information otherwise unsuitable for a traditional
econometric approach. As a test-bed for our framework, machine
learning algorithms allow to create a new holistic measure of
innovation following a 2012 Italian Law aimed at boosting new high-
tech firms. We adopt this measure to analyse the impact of
innovativeness on a large population of Italian firms which entered the
market at the beginning of the 2008 global crisis. The methodological
contribution is organised in different steps. First, we train seven
supervised learning algorithms to recognise innovative firms on 2013
firmographics data and select a combination of those models with the
best prediction power. Second, we apply the latter on the 2008 dataset
and predict which firms would have been labelled as innovative
according to the definition of the 2012 law. Finally, we adopt this new
indicator as the regressor in a survival model to explain firms’ ability to
remain in the market after 2008. The results suggest that innovative
firms are more likely to survive than the rest of the sample, but the
survival premium is likely to depend on location.</t>
  </si>
  <si>
    <t>https://doi.org/10.1080/10438599.2020.1769810</t>
  </si>
  <si>
    <t>https://drive.google.com/file/d/10CalvvXDdl6kOA2a5avl1T4CmslVQMAk/view?usp=sharing</t>
  </si>
  <si>
    <t>The value of publicly available, textual and non-textual information for startup performance prediction</t>
  </si>
  <si>
    <t>Ulrich Kaiser, Johan M. Kuhn</t>
  </si>
  <si>
    <t>We use administrative textual and non-textual data retrieved from publicly available archives to
predict the performance of Danish startups at the time of foundation. The performance outcomes
we consider are survival, high employment growth, a return on assets of above 20 percent, new
patent applications and participation in an innovation subsidy program. We consider a base
specification that includes variables for legal form, region, ownership and industry in all speci-
fications and add variable sets representing firm names, business purpose statements (BPSs) as
well as founder and startup characteristics. To forecast the two innovation-related performance
outcomes well, we only need to include a set of variables derived from the BPS texts on top of the
base variables while an accurate prediction of startup survival requires the combination of the firm
names and the BPS variables along with founder characteristics. An accurate forecast of high
employment growth needs the combination of the BPS variables and the founder characteristics.
All information our forecasts require is likely to be easily obtainable since the underlying infor-
mation is mandatory to report upon business registration in many countries. The substantial ac-
curacy of our predictions for survival, employment growth, new patents and participation in
innovation subsidy programs indicates ample scope for algorithmic scoring models as an addi-
tional pillar of funding and innovation support decisions.</t>
  </si>
  <si>
    <t>https://doi.org/10.1016/j.jbvi.2020.e00179</t>
  </si>
  <si>
    <t>https://drive.google.com/file/d/1il1Db29ik4VLrFu8chFa5xPMfsRGdGn0/view?usp=sharing</t>
  </si>
  <si>
    <t>Hacking the venture industry: An Early-stage Startups Investment framework
for data-driven investors</t>
  </si>
  <si>
    <t>Francesco Corea, Giorgio Bertinetti,  Enrico Maria Cervellati</t>
  </si>
  <si>
    <t>Investing in early-stage companies is incredibly hard, especially when no data are available to support the
decision process. Venture capitalists often rely on gut feeling or heuristics to reach a decision, which is biased
and potentially harmful. This work proposes a new data-driven framework to help investors be more effective
in selecting companies with a higher probability of success. We built upon existing interdisciplinary research
and augmented it with further analysis on more than 600,000 companies over a 20-year timeframe. The
resulting framework is therefore a smart checklist of 21 relevant features that may help investors to select the
companies more likely to succeed.</t>
  </si>
  <si>
    <t>Machine Learning with Applications</t>
  </si>
  <si>
    <t>https://doi.org/10.1016/j.mlwa.2021.100062</t>
  </si>
  <si>
    <t>https://drive.google.com/file/d/1wF5rkh80XT7XDuIKPjci6YrO-Ly3Oxll/view?usp=sharing</t>
  </si>
  <si>
    <t>Startup founders and their LinkedIn connections: Are well-connected entrepreneurs more successful?</t>
  </si>
  <si>
    <t>Devika Banerji, Torsten Reimer</t>
  </si>
  <si>
    <t>Computers in Human Behavior</t>
  </si>
  <si>
    <t>https://doi.org/10.1016/j.chb.2018.08.033</t>
  </si>
  <si>
    <t>https://drive.google.com/file/d/1bI63PHOWLdRXCOCotaIwKlNlURwJCpL2/view?usp=sharing</t>
  </si>
  <si>
    <t>Constraining entrepreneurial development: A knowledge-based view of social networks among academic entrepreneurs</t>
  </si>
  <si>
    <t>Christopher S. Hayter</t>
  </si>
  <si>
    <t>http://dx.doi.org/10.1016/j.respol.2015.11.003</t>
  </si>
  <si>
    <t>https://drive.google.com/file/d/1JVOA6adnFfrijJTG0Wtk5EmtbcIR2Vw5/view?usp=sharing</t>
  </si>
  <si>
    <t>How Exactly Do Network Relationships Pay Off? The Effects of Network Size and Relationship Quality on Access to Start-Up Resources</t>
  </si>
  <si>
    <t>Thorsten Semrau, Arndt Werner</t>
  </si>
  <si>
    <t>Entrepreneurs are expected to profit from network relationships. Research addressing the link between entrepreneurs’ network characteristics and their performance, however, has so far produced inconclusive results. In an attempt to explain these inconsistencies, we investigate the resource returns connected to network size and relationship quality. Based on a sample of 379 nascent entrepreneurs, we find that increasing network size and relationship quality results in diminishing marginal returns in terms of access to financial capital, knowledge and information, and additional business contacts. Additionally, we observe that the returns vary strongly by resource type.</t>
  </si>
  <si>
    <t>https://doi.org/10.1111/etap.12011</t>
  </si>
  <si>
    <t>https://drive.google.com/file/d/1hoUrjtWGtedloIKSFPZ4Iv62P8rKobgs/view?usp=sharing</t>
  </si>
  <si>
    <t>Analyzing Success of Startup Entrepreneurs by Measuring their Social Network Distance to a Business Networking Hub</t>
  </si>
  <si>
    <t>Peter A. Gloor, Pierre Dorsaz, Hauke Fuehres</t>
  </si>
  <si>
    <t>https://drive.google.com/file/d/1WeFGUi46xqS1tkCdSwjuYHriuz9YMDOL/view?usp=sharing</t>
  </si>
  <si>
    <t xml:space="preserve"> In this project we compare the success of startup entrepreneurs and innovators with their
social networking behavior. In particular, we analyze the LinkedIn, Facebook, and e-Mail network of
swissnex, Switzerland’s science and technology outpost in Boston connecting Swiss and American
entrepreneurs and academics for collaborative work. We invited 500 members of the swissnex
community to share their networking data, leading to 72 LinkedIn and 31 Facebook ego networks. We
also included one month of all e-mail traffic of swissnex. We find that centrality in the network
predicts entrepreneurial and academic success: the more central actors are in the different types of
networks, the more successful they are. We also include the metric of “proximity” to key people,
including the swissnex director as well as a longtime Boston entrepreneur and academic. We again
find that proximity in the LinkedIn network to these two people correlates with business and academic
success of the members of the swissnex community.</t>
  </si>
  <si>
    <t>While university spinoffs have become a well-accepted vehicle for regional economic dynamism, they
face numerous developmental barriers associated with the unique academic context from which they
are established. Recent research shows that homophilous social networks among faculty entrepreneurs constitute one such barrier, and yet few studies have investigated the specific characteristics of spinoff networks and their relationship to entrepreneurial development. This paper seeks to address this gap
through a mixed-methods research design focused on the composition, contributions, and evolution of social networks among faculty entrepreneurs whose spinoffs are within various phases of entrepreneur-
ship. Employing a knowledge-spillover conceptual lens, this study finds that social networks among early-stage academic entrepreneurs are important for spurring and supporting spinoff establishment, but if they do not evolve from their initial configuration, these networks can largely constrain subsequent stages of spinoff development. Social networks among successful spinoffs, however, evolve with the help of first-order—or boundary spanning—individuals who help socialize academic entrepreneurs to
market-oriented motivations, values, and practices that they may not otherwise receive in an academic
environment. Further, these individuals provide connections to other contacts who, in turn, provide additional spinoff-enabling resources and contacts. Based on these findings, a conceptual model is intro-
duced that explains spinoff success as a function of network evolution. Implications for research and public policy are also discussed.</t>
  </si>
  <si>
    <t>The Effect of Social Networks on Resource Access and Business Start-ups</t>
  </si>
  <si>
    <t>Jan Inge Jenssen &amp; Harold F. Koenig</t>
  </si>
  <si>
    <t>European Planning Studies</t>
  </si>
  <si>
    <t>In previous research, entrepreneurs' social networks are expected to influence entrepreneurial success because they give access to resources. This is confirmed in this study. In most research it is also believed that network features such as strength of ties determine to a great extent what kind of resources the entrepreneur receives. Although this last assumption has important implications for entrepreneurship research and for practice, the validity of the assumption has not been put to the test in previous research. The analysis of data from an empirical study of entrepreneurs in Norway gives at best partial support for the assumption. Contrary to what should be expected, the results indicate that strong ties are important channels for information and that weak ties give access to finance.</t>
  </si>
  <si>
    <t>https://doi.org/10.1080/0965431022000031301</t>
  </si>
  <si>
    <t>https://drive.google.com/file/d/1lPNdpndawafePP0MCj9n_Cl69mgLcPBc/view?usp=sharing</t>
  </si>
  <si>
    <t>Influence of social network structure on entrepreneurship participation—A study of 20 national cultures</t>
  </si>
  <si>
    <t>Kim Klyver &amp; Kevin Hindle &amp; Denny Meyer</t>
  </si>
  <si>
    <t>Int Entrep Manag J</t>
  </si>
  <si>
    <t>By investigating differences in social networks among entrepreneurs in 20
cultures, this paper contributes to the debate on whether there is universality in the
process of entrepreneurial networking. Representative samples of entrepreneurs were
identified in the same manner in 20 countries from 2000 to 2004 (N=304,560). The
sampling methodologies and the questions asked were similar across all countries.
Logistic regression was used to test for significant regional interaction effects
involving personally knowing an entrepreneur. Results are contrary to the existence
of any mono-dimensional form of networking practice but do strongly support the
existence of both variform universality (culture moderates the importance of
networking) and functional universality (cultural similarities in networking practice
exist).</t>
  </si>
  <si>
    <t>10.1007/s11365-007-0053-0</t>
  </si>
  <si>
    <t>https://drive.google.com/file/d/16vlFJpueWRbYNILjRMO8wE7g0ehXsJ7-/view?usp=sharing</t>
  </si>
  <si>
    <t>Entrepreneurs’ networks and the
success of start-ups</t>
  </si>
  <si>
    <t>Peter Witt</t>
  </si>
  <si>
    <t>Entrepreneurship &amp; Regional
Development: An International Journal</t>
  </si>
  <si>
    <t>The network success hypothesis assumes a positive relation between the networking activities
of founders and their start-up’s success. The rationale behind this hypothesis is the theory of
socially embedded ties that allow entrepreneurs to get resources cheaper than they could be
obtained on markets and to secure resources that would not be available on markets at all, e.g.
reputation, customer contacts, etc.
This paper clarifies how entrepreneurial network activities can be measured and which
indicators exist to quantify start-up success. It then reviews empirical studies on the network
success hypothesis. The studies have rarely come up with significant results. This surprising
evidence can be explained by large differences in the way that the dependent and the indepen-
dent variables were defined and by effects of unobserved variables such as the networking
expertise of the founders and the entrepreneurs’ level of existing know-how in the areas of
co-operation and networking (‘absorptive capacity’). The major shortcomings of existing
network studies are found to be the neglect of different starting conditions, the focus on
individual founders’ networks instead of multiple networks in start-ups with an entrepreneurial
team, and the assumption of a linear causal relation between networking and start-up success.
Accordingly, the paper develops a new, extended model for the relation between entrepre-
neurial networks and start-up success. Finally, we make some suggestions for the further
development of entrepreneurial network theory.</t>
  </si>
  <si>
    <t>10.1080/0898562042000188423</t>
  </si>
  <si>
    <t>https://drive.google.com/file/d/11nU9MYzi3sbbxKrJunVcriSZlLnxJbZE/view?usp=sharing</t>
  </si>
  <si>
    <t>Network-based research in entrepreneurship A critical review</t>
  </si>
  <si>
    <t>Ha Hoanga, Bostjan Antoncic</t>
  </si>
  <si>
    <t>Network-based research in entrepreneurship is reviewed and critically examined in three areas:
content of network relationships, governance, and structure. Research on the impact of network
structure on venture performance has yielded a number of important findings. In contrast, fewer
process-oriented studies have been conducted and only partial empirical confirmation exists for a
theory of network development. In order to address unanswered questions on how network content,
governance, and structure emerge over time, more longitudinal and qualitative work is needed. Theory
building in this field would benefit also from a greater integration between process- and outcome-
oriented research.</t>
  </si>
  <si>
    <t>https://drive.google.com/file/d/18WDCTHJjsNrjGjQPsRTfl9LyfV21TYCT/view?usp=sharing</t>
  </si>
  <si>
    <t>Social Networks and Entrepreneurship</t>
  </si>
  <si>
    <t>Arent Greve, Janet W. Salaff</t>
  </si>
  <si>
    <t>We study network activities of entrepreneurs through three phases of establishing a firm in four countries. Entrepreneurs access people in their networks to discuss aspects of establishing and running a business. We find that entrepreneurs build networks that systematically vary by the phase of entrepreneurship, analyzing number of their discussion partners, and the time spent networking. Entrepreneurs talk with more people during the planning than other phases. Family members are present in their networks in all phases, particularly among those who took over an existing firm. However, women use their kin to a larger extent than men, and even more than men when they take over an existing firm. Experienced entrepreneurs have the same networking patterns as novices. Moreover, these networking patterns are the same in all countries. However, there are country differences in size of discussion networks and time spent networking.</t>
  </si>
  <si>
    <t>https://drive.google.com/file/d/15Dr-T5nlIrYZMStSQLJFZZCdijMZSPKn/view?usp=sharing</t>
  </si>
  <si>
    <t>https://doi.org/10.1111/1540-8520.00029</t>
  </si>
  <si>
    <t>Network Ties, Reputation, and the Financing of New Ventures</t>
  </si>
  <si>
    <t>Scott Shane and Daniel Cable</t>
  </si>
  <si>
    <t>Explaining how entrepreneurs overcome information asymmetry between themselves and potential investors to obtain financing is an important issue for entrepreneurship research. Our premise is that economic explanations for venture finance, which do not consider how social ties influence this process, are undersocialized and incomplete. However, we also argue that organization theoretic arguments, which draw on the concept of social obligation, are oversocialized. Drawing on the organizational theory literature, and in-depth fieldwork with 50 high-technology ventures, we examine the effects of direct and indirect ties between entrepreneurs and 202 seed-stage investors on venture finance decisions. We show that these ties influence the selection of ventures to fund through a process of information transfer.</t>
  </si>
  <si>
    <t>https://www.jstor.org/stable/822571</t>
  </si>
  <si>
    <t>https://drive.google.com/file/d/1wb-XN8OZcLC10IJzdUvCsBq03fVPaIuA/view?usp=sharing</t>
  </si>
  <si>
    <t>Intellectual Capital and business start-uip success</t>
  </si>
  <si>
    <t>Journal of Intellectual Capital</t>
  </si>
  <si>
    <t>While start‐up firms create a substantial economic impact on most economies, the failure rate of start‐up firms seems to remain high over time. Few authors have examined the influence of intellectual capital management on business performance, and when it has been examined, the focus has been on large, mature and public companies. The purpose of this study is to analyze the extent to which IC assets are associated with new firm survival and growth. Results from this study suggest that the human capital of the entrepreneur (i.e. education, business experience and level of motivation), organizational capital (i.e. firm capacity to adapt quickly to changes and the ability to implement successful strategies), and relational capital (i.e. development of productive business networks and an immediate access to critical stakeholders) are important intangible assets, which seem to be related positively to venture performance.</t>
  </si>
  <si>
    <t>https://drive.google.com/file/d/14I3K_SX-WPZelcsz02FFg23V2jRCWP2V/view?usp=sharing</t>
  </si>
  <si>
    <t>Iñaki Peña</t>
  </si>
  <si>
    <t>The Network Structure Of Social Capital</t>
  </si>
  <si>
    <t>Ronald S. Burt</t>
  </si>
  <si>
    <t>Research in Organizational Behavior</t>
  </si>
  <si>
    <t>This is a review of argument and evidence on the connection between social networks and social capital. My summary points are three: (1) Research and theory will better cumulate across studies if we focus on the network mechanisms responsible for social capital effects rather than trying to integrate across metaphors of social capital loosely tied to distant empirical indicators. (2) There is an impressive diversity of empirical evidence showing that social capital is more a function of brokerage across structural holes than closure within a network, but there are contingency factors. (3) The two leading network mechanisms can be brought together in a productive way within a more general model of social capital. Structural holes are the source of value added, but network closure can be essential to realizing the value buried in the holes.</t>
  </si>
  <si>
    <t>https://doi.org/10.1016/S0191-3085(00)22009-1</t>
  </si>
  <si>
    <t>https://drive.google.com/file/d/1qIhdKLp1FQECC6QHqEBGOa151i-EcvNB/view?usp=sharing</t>
  </si>
  <si>
    <t>Network Support and the Success of Newly Founded Business</t>
  </si>
  <si>
    <t xml:space="preserve">Josef Brüderl &amp; Peter Preisendörfer </t>
  </si>
  <si>
    <t>Small Business Economics</t>
  </si>
  <si>
    <t>The "network approach to entrepreneurship" is a prominent theoretical perspective within the literature on entrepreneurship. This literature assumes that network resources, networking activities and network support are heavily used to establish new firms (network founding hypothesis). Further, those entrepreneurs, who can refer to a broad and diverse social network and who receive much support from their network are more successful (network success hypothesis). Based on a study of 1,700 new business ventures in Upper Bavaria (Germany), the article gives an empirical test of the network success hypothesis. It is argued that one reason, why previous studies did not consistently find positive network effects, may be that social capital (network support) is used to compensate shortfalls of other types of capital (human capital and financial capital). This compensation hypothesis, however, does not find empirical confirmation. On the other hand, however, the network success hypothesis proves to be valid in our analyses, i.e. network support increases the probability of survival and growth of newly founded businesses.</t>
  </si>
  <si>
    <t>https://drive.google.com/file/d/1AdOv3N6BK4U9W4cMAa_RTO9gA9aTVLC-/view?usp=sharing</t>
  </si>
  <si>
    <t>Bridging Ties: A Source of Firm Heterogeneity in Competitive Capabilities</t>
  </si>
  <si>
    <t>Bill McEvily, Akbar Zaheer</t>
  </si>
  <si>
    <t>What explains differences in firms’ abilities to acquire competitive capabilities? In this paper we
propose that embeddedness, in terms of firms’ network of bridging ties and linkages to regional
institutions, are important sources of variation in firms’ acquisition of competitive capabilities. We
argue that firm networks rich in bridging ties and firms’ participation in regional institutions are
critical vehicles for accessing new information, ideas, and opportunities leading to the acquisition
of competitive capabilities in geographical clusters. Hypotheses are tested on a stratified random
sample of 227 job shop manufacturers located in several regions of the US Midwest using data
gathered from a mailed questionnaire. Results from structural equation modeling broadly support
the embeddedness hypotheses and suggest a number of novel insights about the link between
firms’ networks and competitive capabilities.</t>
  </si>
  <si>
    <t>https://www.jstor.org/stable/3094082</t>
  </si>
  <si>
    <t>https://drive.google.com/file/d/15FNwRy-MID4GXJ3VWfQcOlhihNbQ3W8R/view?usp=sharing</t>
  </si>
  <si>
    <t>Toward a Model of Venture Capital Investment Decision Making</t>
  </si>
  <si>
    <t>Vance H. Fried and Robert D. Hisrich</t>
  </si>
  <si>
    <t>Financial Management</t>
  </si>
  <si>
    <t>Strategic Management Journal</t>
  </si>
  <si>
    <t>Abstract: This paper uses a case study methodology to develop a model of the venture capital investment decision-making process. It identifies generic criteria that venture capitalists use. A six-stage process model is proposed: origination, venture
capital firm-specific screen, generic screen, first-phase evaluation, second-phase
evaluation, and closing. Different activities occur in each stage. It is argued that the
venture capitalist provides both supply-side and demand-side benefits to the market.</t>
  </si>
  <si>
    <t>https://drive.google.com/file/d/1nvVrMt2fqSRpRZ1CSu1m-BvfbjDl28DJ/view?usp=sharing</t>
  </si>
  <si>
    <t>https://www.jstor.org/stable/3665619</t>
  </si>
  <si>
    <t>Partner networks: Leveraging external ties to improve entrepreneurial performance</t>
  </si>
  <si>
    <t>Andrea Larson</t>
  </si>
  <si>
    <t>This paper examines the conditions under which successful partnership networks were formed by four entrepreneurial companies. Seven alliance partnerships were studied. Both sides benefited through product advances, administrative process improvements, and rapid response times due to the greater levels of information exchange and coordination through computers. Key to understanding the partnerships was the development of trust between organizations. The value of these partnerships in terms of benefits to smaller companies has not received adequate attention in the literature. Yet forging such collaborative alliances seems crucial in explaining the ability of smaller firms to grow and to innovate.
These networks should be seen as a competitive alternative to vertical integration. Smaller-scale entrepreneurial firms lack the financial resources to vertically integrate steps in the value added chain. This research suggests that a network organizational form can be cultivated by smaller companies to realize the benefits of vertically integrated functions while avoiding the bureaucratic inefficiencies of that organizational form. The network strategy of building close collaborative alliances with a limited set of suppliers and customers enables a firm to stabilize itself while remaining flexible and responsive to a changing market. An important aspect of strategic planning for the entrepreneurial firm is to identify prospective partners and consciously initiate and build partnerships with responsive firms. The data gathered indicate that these alliances do not form by chance but can be studied as patterned, predictable exchange structures that can be replicated and used to improve a firm's competitive position against larger players.
The paper argues for an expansion of our concept of entrepreneurship to include the effective management of partnership networks. We should also expand our ideas about organizational forms to recognize the network structure as an effective governance arrangement for entrepreneurial companies. The findings strongly suggest that entrepreneurial firm's ability to identify, cultivate, and manage these network partnerships is critical to survival and success.</t>
  </si>
  <si>
    <t>https://doi.org/10.1016/0883-9026(91)90008-2</t>
  </si>
  <si>
    <t>https://www.sciencedirect.com/science/article/pii/0883902691900082</t>
  </si>
  <si>
    <t>Personal and Extended Networks Are Central to the Entrepreneurial Process</t>
  </si>
  <si>
    <t>Paola Dubini, Howard E. Aldrich</t>
  </si>
  <si>
    <t>Examines the networking strategies of entrepreneurs, including their use of personal and extended organizational networks. Although models of entrepreneurial networking usually do not make distinctions between individuals, organizations, and networks, this analysis considers the impact of social networks of individual entrepreneurs and the extended networks of organizations on the success of entrepreneurs and their companies. The social or personal networks of entrepreneurs can prove to be a cost-effective means of obtaining information that is valuable to the business. Networking of this type involves expanding one's circle of trust. These personal networks are made up of weak and strong ties that together must provide access to diverse information sources. Moving from the personal networks to the extended networks allows entrepreneurs to use indirect ties to expand their access to information and resources. Using these two concepts of networks, two hypotheses are presented. The first proposes that effective entrepreneurs are more likely to systematically plan and monitor network activities while the second proposes that effective entrepreneurs are more likely to undertake actions that increase network density and diversity. With respect to the first hypothesis, those entrepreneurs that are effective are believed to be able to chart their present network, to view effective networks as a crucial aspect of success, and to be able to stabilize and maintain networks. A better understanding of personal networks will help in determining how extended networks are created and in turn strengthened over time. (SRD)</t>
  </si>
  <si>
    <t>10.1016/0883-9026(91)90021-5</t>
  </si>
  <si>
    <t>https://drive.google.com/file/d/1ryxUMGG7HsHfRoaxhvAKeholz7VjWsGu/view?usp=sharing</t>
  </si>
  <si>
    <t>Network evolution, entrepreneurial success, and
regional development</t>
  </si>
  <si>
    <t>John E. Butler &amp; Gary S. Hansen</t>
  </si>
  <si>
    <t>Entrepreneurship &amp; Regional Development</t>
  </si>
  <si>
    <t>Social networks of entrepreneurs are theorized as evolving from an idea generating stage, to a
business development stage, and finally to a strategic stage. A model of network evolution that
relates changing network activity to the increasing complexity facing the entrepreneur is presented
in this paper. A field study ofpremium wineries, operated by their founding entrepreneurs, is used
to (1) assess the impact of social networks in the identification of entrepreneurial opportunity, (2)
examine the development and use of networks in establishing the business, and (3) explore the role
of interorganizational networks in startup firms. The results suggests that both broad social and
interorganizational strategic networks are important to successful startup and ongoing
competitive advantage. The results suggest that public policy might be better directed toward the
enhancement of this type of network activity, rather than the traditional support provided to
encourage business formation.</t>
  </si>
  <si>
    <t>https://drive.google.com/file/d/1QVKwYjfQy1YfRvgd9s8t_nqZUdDTpuQ3/view?usp=sharing</t>
  </si>
  <si>
    <t>The emergence of entrepreneurial ecosystems: A complex adaptive systems approach</t>
  </si>
  <si>
    <t>Philip T. Roundy, Mike Bradshaw, Beverly K. Brockman</t>
  </si>
  <si>
    <t>https://drive.google.com/file/d/1XBKwsb6T7trFlZr3A5efgVvc3uM2wkPd/view?usp=sharing</t>
  </si>
  <si>
    <t>The Relational Organization of Entrepreneurial Ecosystems</t>
  </si>
  <si>
    <t>Ben Spigel</t>
  </si>
  <si>
    <t>Entrepreneurial ecosystems have emerged as a popular concept to explain the persistence of high–growth entrepreneurship within regions. However, as a theoretical concept ecosystems remain underdeveloped, making it difficult to understand their structure and influence on the entrepreneurship process. The article argues that ecosystems are composed of 10 cultural, social, and material attributes that provide benefits and resources to entrepreneurs and that the relationships between these attributes reproduce the ecosystem. This model is illustrated with case studies of Waterloo, Ontario, and Calgary, Alberta, Canada. The cases demonstrate the variety of different configurations that ecosystems can take.</t>
  </si>
  <si>
    <t>https://drive.google.com/file/d/17nnFz6VnjZ9c7Bxcd27dmdmClNFrQ89n/view?usp=sharing</t>
  </si>
  <si>
    <t>IPOs, trade sales and liquidations: Modelling venture capital exits using survival analysis</t>
  </si>
  <si>
    <t>The resilience of entrepreneurial ecosystems</t>
  </si>
  <si>
    <t>Philip T. Roundy, Beverly K. Brockman, Mike Bradshaw</t>
  </si>
  <si>
    <t>https://drive.google.com/file/d/1N2CZGjgplsqyAXublPOIF-aidHtWiooW/view?usp=sharing</t>
  </si>
  <si>
    <t>Looking inside the spiky bits: a critical review and conceptualisation of entrepreneurial ecosystems</t>
  </si>
  <si>
    <t>Ross Brown, Colin Mason</t>
  </si>
  <si>
    <t>Insights for Thesis</t>
  </si>
  <si>
    <t>Outcomes</t>
  </si>
  <si>
    <t>Entrepreneurial ecosystems are receiving heightened attention from scholars and practitioners. Studies have focused on isolating entrepreneurial ecosystems' components; however, prior research has not o ered a theory of entrepreneurial ecosystems that embraces their complexity. To address this omission in ecosystems research, we contend that entrepreneurial ecosystems can be more fully understood if examined through the lens of complexity science and conceptualized as complex adaptive systems. We contribute to entrepreneurship research by developing a complexity-based de nition of entrepreneurial ecosystems. Building on this de nition, we connect the research on entrepreneur- and venture-level complexity to work on entrepreneurial ecosystems and propose three related forces that will in uence entrepreneurial ecosystem emergence: intentionality of entrepreneurs, coherence of entrepreneurial activities, and injections of resources. Beyond developing theory, we describe how scholars can examine entrepreneurial ecosystems as complex systems using qualitative comparative analysis, agent-based modeling, and interpretivist methods. Our theorizing also has implications for entrepreneurs and
policymakers.</t>
  </si>
  <si>
    <t>Despite intense scholarly interest in entrepreneurial ecosystems, research has not explicitly emphasized ecosystem-level dynamics or explored sources of variance among ecosystems. We theorize that entrepreneurial ecosystems are heterogeneous in a key, system-level characteristic: resilience. We define entrepreneurial ecosystem resilience and theorize that it is intimately tied to the interaction between micro- and macro-level processes of an ecosystem. We contend that entrepreneurial ecosystems differ in both the diversity of participants, ventures, business models, and support organizations, and their coherence around shared values and activities. The interplay between ecosystem diversity and coherence, in turn, produces resilience. Our theory has implications for scholars, entrepreneurs, and policy-makers.</t>
  </si>
  <si>
    <t>The concept of entrepreneurial ecosystems has quickly established itself as one of the latest ‘fads’ in entrepreneurship research. At face value, this kind of systemic approach to entrepreneurship offers a new and distinctive path for scholars and policy makers to help understand and foster growth-oriented entrepreneurship. However, its lack of specification and conceptual limitations has undoubtedly hindered our understanding of these complex organisms. Indeed, the rapid adoption of the concept has tended to overlook the heterogeneous nature of ecosystems. This paper provides a critical review and conceptualisation of the ecosystems concept: it unpacks the dynamics of the concept; outlines its theoretical limitations; measurement approaches and use in policy-making. It sets out a preliminary taxonomy of different archetypal ecosystems. The paper concludes that entrepreneurial ecosystems are a highly variegated, multi-actor and multi-scalar phenomenon, requiring bespoke policy interventions.</t>
  </si>
  <si>
    <t>https://drive.google.com/file/d/1_ltwBQuS4CK2QgrN0MhPT0y6Z5M0PLMS/view?usp=sharing</t>
  </si>
  <si>
    <t>The lineages of the entrepreneurial ecosystem approach</t>
  </si>
  <si>
    <t>Zoltan J. Acs &amp; Erik Stam &amp; David B. Audretsch &amp; Allan O’Connor</t>
  </si>
  <si>
    <t>In its most abstract sense, an ecosystem is a biotic community, encompassing its physical environment, and all the interactions possible in the complex of living and nonliving components. Economics has always been about systems that explain differential output and outcomes. However, economics has generally ignored the role of entrepreneurship in economic systems, just as entrepreneurship studies have largely overlooked the role of systems in explaining the prevalence and performance of entrepreneurship. The entrepreneurial ecosystem approach has the promise to correct these shortcomings. Its two dominant lineages are the regional development literature and the strategy literature. Both lineages share common roots in ecological systems thinking, providing fresh insights into the interdependence of actors in a particular community to create new value. But studies of both regional development and strategic management have largely ignored the role of entrepreneurs in new value creation. In this paper, we will outline contributions to the entrepreneurial ecosystem approach and conclude with a promising new line of research to our understanding of the emergence, growth, and context of start-ups that have achieved great impact by developing new platforms.</t>
  </si>
  <si>
    <t>https://drive.google.com/file/d/1Zy_KpV2xlRbM-1k1pN4XL5GS6bK5h-kD/view?usp=sharing</t>
  </si>
  <si>
    <t>Examining the Connections within
the Startup Ecosystem: A Case Study
of St. Louis</t>
  </si>
  <si>
    <t>Yasuyuki Motoyama, Karren Knowlton</t>
  </si>
  <si>
    <t>Entrepreneurship Research Journal</t>
  </si>
  <si>
    <t>We critically examine how an entrepreneurial ecosystem is structured using an exploratory and bottom-up approach. Past studies in this area have discussed the presence of elements in the system or captured the ecosystem as holistically as possible by extending to social, cultural, and institutional dimension. However, we find that such aggregated conceptualizations gave limited understanding to how different elements are connected and constitute the system. Here, we apply a social network approach by analyzing the connections of the ecosystem at multiple layers: (1) among entrepreneurs, (2) among support organizations, and (3) between and among entrepreneurs and key support organizations. Through a series of interviews with entrepreneurs and support organizations in St. Louis, we find that the ways in which support organizations in this region interacted with each other and with entrepreneurs, including explicit cross-organizational collaboration and strategic structuring of resources, significantly impacted the way that entrepreneurs interacted with one another and with organizations, thus deepening our understanding of these connections and identifying intervening points within the ecosystem.</t>
  </si>
  <si>
    <t>https://drive.google.com/file/d/1wVYe3vYEbGxsldCaZz-8IAR6O4JAkt74/view?usp=sharing</t>
  </si>
  <si>
    <t>Entrepreneurial Ecosystems and Regional Policy: A
Sympathetic Critique</t>
  </si>
  <si>
    <t>Erik Stam</t>
  </si>
  <si>
    <t>Regional policies for entrepreneurship are currently going through a transition from increasing the quantity of entrepreneurship to increasing the quality of entrepreneurship. The next step will be the transition from entrepreneurship policy towards policy for an entrepreneurial economy. The entrepreneurial ecosystem approach has been heralded as a new framework accommodating these transitions. This approach starts with the entrepreneurial actor, but emphasizes the context of productive entrepreneurship. Entrepreneurship is not only the output of the system, entrepreneurs are important players themselves in creating the ecosystem and keeping it healthy. This research briefing reviews the entrepreneurial ecosystem literature and its shortcomings, and provides a novel synthesis. The entrepreneurial ecosystem approach speaks directly to practitioners, but its causal depth and evidence base is rather limited. This article provides a novel synthesis including a causal scheme of how the framework and systemic conditions of the ecosystem lead to particular entrepreneurial activities as output of the ecosystem and new value creation as outcome of the ecosystem. In addition it provides a framework for analysing the interactions between the elements within the ecosystem. This offers a much more rigorous and relevant starting point for subsequent studies into entrepreneurial ecosystems and the regional policy implications of these.</t>
  </si>
  <si>
    <t>https://drive.google.com/file/d/1nwbOQTXG5WK9E6Udi3AsgKi9tQLCWQxg/view?usp=sharing</t>
  </si>
  <si>
    <t>Entrepreneurial innovation: The importance of context</t>
  </si>
  <si>
    <t>Erkko Autio, Martin Kenney, Philippe Mustar, Don Siegel, Mike Wright</t>
  </si>
  <si>
    <t>The purpose of this article and the special issue is to improve our understanding of the theoretical, managerial, and policy implications of entrepreneurial innovation. We accomplish this objective by examining the role of context in stimulating such activity, as well as its impact on the outcomes of entrepreneurial innovation. Our analysis begins by outlining an overarching framework for entrepreneurial innovation and context. With reference to this framework we then compare the attributes of national innovation systems, entrepreneurship and entrepreneurial innovation, and categorize contextual influences on entrepreneurial innovation. We then situate the papers presented in this special issue within this framework. We conclude by outlining an agenda for additional research on this topic, focusing on the relationships between contexts and entrepreneurial innovation and then discuss policy implications, focusing on how public and private actors can meet these challenges.</t>
  </si>
  <si>
    <t>https://drive.google.com/file/d/1M1_S6ltw3eLecq31gQ7Qb_j1fw_oqLvO/view?usp=sharing</t>
  </si>
  <si>
    <t>Regional systems of entrepreneurship: the nexus of human capital, knowledge and new firm formation</t>
  </si>
  <si>
    <t>Journal of Economic Geography</t>
  </si>
  <si>
    <t>Haifeng Qian,  Zoltan J. Acs ,  Roger R. Stough</t>
  </si>
  <si>
    <t>This article focuses on entrepreneurship in economic geography and aims at a systematic investigation of regional variation in knowledge-based entrepreneurial activity. We develop and test a three-phase structural model for regional systems of entrepreneurship after introducing a systems approach to entrepreneurship. The model is built upon the absorptive capacity theory of knowledge spillover entrepreneurship that identifies new knowledge as one source of entrepreneurial opportunities and human capital as the major source of entrepreneurial absorptive capacity. Based on data of US metropolitan areas, we find that entrepreneurial absorptive capacity is a critical driving force for knowledge-based entrepreneurial activity. We also find that high technology and cultural diversity contribute to the vibrancy of regional systems of entrepreneurship.</t>
  </si>
  <si>
    <t>https://drive.google.com/file/d/14t2oYkGMjEY4XCgQP5-siUB3SVKkwnEt/view?usp=sharing</t>
  </si>
  <si>
    <t>An Entrepreneurial System View of
New Venture Creation</t>
  </si>
  <si>
    <t>Heidi M. Neck, G. Dale Meyer, Boyd Cohen, Andrew C. Corbett</t>
  </si>
  <si>
    <t>This paper reports the results of a two-phase study that explores new venture creation within the context of an entrepreneurial system. First, a genealogy of high-
technology companies is presented depicting a high spin-off rate resulting from the presence of seven incubator organizations. Second, semantic structure analysis
(Spradley 1980) based on semi-structured interviews with founders is used to develop
a taxonomy. This taxonomy depicts the relationship among components in one
entrepreneurial system, Boulder County, Colorado, that encourages, supports, and enhances regional entrepreneurial activity. Findings indicate that incubator organ-
izations, spin-offs, informal and formal networks, the physical infrastructure, and the culture of the region are related uniquely and interact to form a system conducive
for dense high-technology entrepreneurial activity. Additionally, greater rates of new
venture formation were found following critical moments in the life of incubator
organizations.</t>
  </si>
  <si>
    <t>https://drive.google.com/file/d/1mplnLZcmeYcqzHDf7sx6ME2M6jD6vHp2/view?usp=sharing</t>
  </si>
  <si>
    <t>Flexible Re-Cycling and High-Technology Entrepreneurship</t>
  </si>
  <si>
    <t>Homa Bahrarni, Stuart Evans</t>
  </si>
  <si>
    <t>California Management Review</t>
  </si>
  <si>
    <t>An analysis explores high-technology entrepreneurship in Silicon Valley - an environment in which technological innovation and new enterprises have thrived during the past 30 years. In this domain, the demise of one firm typically leads to the formation of others. This process of "flexible re-cycling" can result in novel reconfiguration of knowledge and human capabilities, allowing new firms to rise from the ashes of disengaged enterprises. The versatile ecosystem of Silicon Valley facilitates the process of flexible re-cycling and can be viewed as the enduring dimension of business activity.</t>
  </si>
  <si>
    <t>https://drive.google.com/file/d/1luhC5kirApB5_Lo-glGv1DfUxJRIOUd-/view?usp=sharing</t>
  </si>
  <si>
    <t>Specialization and Success: Evidence from Venture Capital</t>
  </si>
  <si>
    <t>Gompers et al.</t>
  </si>
  <si>
    <t>Journal of Economics &amp; Management Strategy</t>
  </si>
  <si>
    <t>This paper examines how organizational structure affects behavior and
outcomes, studying the performance of different types of venture capital
organizations. We find a strong positive relationship between the degree of
specialization by individual venture capitalists at a firm and its success. When
the individual investment professionals are highly specialized themselves, the
marginal effect of increasing overall firm specialization is much weaker. The
poorer performance by generalists appears to be due to both an inefficient
allocation of funding across industries and poor selection of investments
within industries. Venture capital organizations with more experience tend
to outperform those with less experience.</t>
  </si>
  <si>
    <t>For the past 40 years, entrepreneurs and researchers have assumed that entrepreneur networks are important for startup ventures. This study takes this notion further by testing whether these benefits translate into tangible financial outcomes for a startup. For this purpose, the study integrates two extensive databases that have not been studied together in previous research: Crunchbase.com, which provides information on the financial success of startup companies, and LinkedIn, which provides social network information of founders. The analysis revealed that several variables in LinkedIn profiles were positively correlated with the amount of funds raised by startup companies establishing a link between social networks and entrepreneurial success. The average number of followers that the founders of a company had according to their LinkedIn profile was the strongest predictor of the amount of funds raised by companies.</t>
  </si>
  <si>
    <t>https://drive.google.com/file/d/13Xm-ez2GUTXVvcuKsLo6aRK6ettTVXFf/view?usp=sharing</t>
  </si>
  <si>
    <t>Fabio Bertoni, Massimo G. Colombo, Luca Grilli</t>
  </si>
  <si>
    <t>On the Life Cycle Dynamics of Venture-Capital and Non-Venture-Capital-Financed Firms</t>
  </si>
  <si>
    <t>Manju Puri, Rebecca Zarutskie</t>
  </si>
  <si>
    <t>The Journal of Finance</t>
  </si>
  <si>
    <t>We use data over 25 years to understand the life cycle dynamics of VC- and non-VC-
financed firms. We find successful and failed VC-financed firms achieve larger scale but are not more profitable at exit than matched non-VC-financed firms. Cumulative failure rates of VC-financed firms are lower, with the difference driven largely by lower failure rates in the initial years after receiving VC. Our results are not driven by VCs disguising failures as acquisitions or by certain types of VCs. The performance difference between VC- and non-VC-financed firms narrows in the post-internet bubble years, but does not disappear.</t>
  </si>
  <si>
    <t>https://drive.google.com/file/d/1kcETwDZK_bcnZ1tWEHMeWEs3GqcUGPRS/view?usp=sharing</t>
  </si>
  <si>
    <t>This paper shows that active investors, such as venture capitalists, can affect the speed
at which new ventures grow. In the absence of product market competition, new
ventures financed by active investors grow faster initially, though in the long run those
financed by passive investors are able to catch up. By contrast, in a competitive product
market, new ventures financed by active investors may prey on rivals that are financed
by passive investors by ‘‘strategically overinvesting’’ early on, resulting in long-run
differences in investment, profits, and firm growth. The value of active investors is
greater in highly competitive industries as well as in industries with learning curves,
economies of scope, and network effects, as is typical for many ‘‘new economy’’
industries. For such industries, our model predicts that start-ups with access to venture
capital may dominate their industry peers in the long run.</t>
  </si>
  <si>
    <t>Roman Inderst,  Holger M. Mueller</t>
  </si>
  <si>
    <t>Early-stage financing and firm growth in new industries</t>
  </si>
  <si>
    <t>https://doi.org/10.1016/j.jfineco.2008.07.004</t>
  </si>
  <si>
    <t>https://drive.google.com/file/d/1FvmTPCcEKOMuicyQDDg-62WNguDYyRpV/view?usp=sharing</t>
  </si>
  <si>
    <t>How Smart Is Smart Money? A Two-Sided Matching Model of Venture Capital</t>
  </si>
  <si>
    <t>Morten Sorensen</t>
  </si>
  <si>
    <t>I find that companies funded by more experienced VCs are more likely to go public.
This follows both from the direct influence of more experienced VCs and from sorting in
the market, which leads experienced VCs to invest in better companies. Sorting creates
an endogeneity problem, but a structural model based on a two-sided matching model
is able to exploit the characteristics of the other agents in the market to separately
identify and estimate influence and sorting. Both effects are found to be significant,
with sorting almost twice as important as influence for the difference in IPO rates.</t>
  </si>
  <si>
    <t>https://doi.org/10.1111/j.1540-6261.2007.01291.x</t>
  </si>
  <si>
    <t>https://drive.google.com/file/d/1SGFzuw2jkTBjw_e4DzlwX9sJ0viiK1qK/view?usp=sharing</t>
  </si>
  <si>
    <t>Whom You Know Matters: Venture Capital Networks and Investment Performance</t>
  </si>
  <si>
    <t>YAEL V. HOCHBERG, ALEXANDER LJUNGQVIST, and YANG LU</t>
  </si>
  <si>
    <t>Many financial markets are characterized by strong relationships and networks, rather than arm’s-length, spot market transactions. We examine the performance consequences of this organizational structure in the context of relationships established when VCs syndicate portfolio company investments. We find that better-networked VC firms experience significantly better fund performance, as measured by the pro-portion of investments that are successfully exited through an IPO or a sale to another company. Similarly, the portfolio companies of better-networked VCs are significantly more likely to survive to subsequent financing and eventual exit. We also provide initial evidence on the evolution of VC networks.</t>
  </si>
  <si>
    <t>https://doi.org/10.1111/j.1540-6261.2007.01207.x</t>
  </si>
  <si>
    <t>https://drive.google.com/file/d/1_5YBw0tN7jpySBJA0FpxuWDrU5F1bB8E/view?usp=sharing</t>
  </si>
  <si>
    <t>Industry-specific specialization in venture capitalists’ internationalization decisions</t>
  </si>
  <si>
    <t>Antonia Nörthemann</t>
  </si>
  <si>
    <t>Journal of Business Economics</t>
  </si>
  <si>
    <t xml:space="preserve">This study considers the impact of venture capitalists’ industry specialization on cross-border investment decisions. The article argues that specialized venture capitalists’ liability of foreignness is lower in specific international markets as assessments of the market and the behaviour of market participants are facilitated through industry-specific learning effects. Specialization leads to lower risk in cross-border investments from a venture capitalist’s point of view. With increasing deal-specificity, the support and value enhancement of a foreign portfolio company are ensured in international markets due to the investor’s specialization. A multilevel investigation of 46,525 worldwide venture capital deals from 2001 to 2019 in 69 countries shows a positive relationship between venture capitalists’ industry specialization and internationality. The results show that the likelihood of a cross-border deal increases with higher levels of industry specialization. Furthermore, this effect is moderated by determinants at the institutional and portfolio company levels, reflecting the degree of information asymmetry between the venture capital firm and the portfolio company.
</t>
  </si>
  <si>
    <t>https://doi.org/10.1007/s11573-022-01129-1</t>
  </si>
  <si>
    <t>https://drive.google.com/file/d/1PO9NrEPzi1sWNATSmMiHA0KDT2U_U_Il/view?usp=sharing</t>
  </si>
  <si>
    <t>Syndication Networks and the Spatial Distribution of Venture Capital Investments</t>
  </si>
  <si>
    <t>Sorenson, Stuart</t>
  </si>
  <si>
    <t>AJS</t>
  </si>
  <si>
    <t>Sociological investigations of economic exchange reveal how institutions and social structures shape transaction patterns among economic actors. This article explores how interfirm networks in the U.S. venture capital (VC) market affect spatial patterns of exchange. Evidence suggests that information about potential investment opportunities generally circulates within geographic and industry spaces. In turn, the circumscribed flow of information within these spaces contributes to the geographic‐ and industry‐localization of VC investments. Empirical analyses demonstrate that the social networks in the VC community—built up through the industry’s extensive use of syndicated investing—diffuse information across boundaries and therefore expand the spatial radius of exchange. Venture capitalists that build axial positions in the industry’s coinvestment network invest more frequently in spatially distant companies. Thus, variation in actors’ positioning within the structure of the market appears to differentiate market participants’ ability to overcome boundaries that otherwise would curtail exchange.</t>
  </si>
  <si>
    <t>https://drive.google.com/file/d/1EiwI1GWrZQx-zWBy24gAtTYb0DfFWjtw/view?usp=sharing</t>
  </si>
  <si>
    <t>The Role of Innovation Ecosystems and Social Capital in Startup Survival</t>
  </si>
  <si>
    <t>Cesar Bandera, Ellen Thomas</t>
  </si>
  <si>
    <t>Innovation ecosystems, including technology parks
and incubators, endeavor to achieve a high density of startups that
is rich in social capital to help tenants evolve. Given the importance
of social capital on startup success and the opportunity for social capital diffusion in high-density ecosystems, the inconclusive impact of ecosystems on firm performance warrants further attention. We present a startup survival model that distinguishes between access to social capital and using it. Empirical tests with the longitudinal Kauffman Firm Survey find that those startups that use social capital by collaborating with other agents (universities, industries, and government organizations) significantly outperform startups that do not. However, we also observe that the amount of social capital available in an ecosystem counterintuitively does not correlate with a tenant’s use of it, and correlates weakly with
longer life expectancy. These results are moderated by whether the
tenant is a high-tech startup or not. Findings contribute to extant
research in innovation and entrepreneurial ecosystems. Policy and pedagogical recommendations for leveraging an ecosystem to improve firm performance and achieve the ultimate goal of regional economic development are discussed.</t>
  </si>
  <si>
    <t>IEEE TRANSACTIONS ON ENGINEERING MANAGEMENT</t>
  </si>
  <si>
    <t>https://drive.google.com/file/d/1bN7NcnzegYS8DKxAzsawT0KNJYhw28p5/view?usp=sharing</t>
  </si>
  <si>
    <t>Location, Competition, and Economic Development: Local Clusters in a Global Economy</t>
  </si>
  <si>
    <t>Michael E. Porter</t>
  </si>
  <si>
    <t>Economic Development Quarterly</t>
  </si>
  <si>
    <t>Economic geography during an era of global competition involves a paradox. It is widely recognized that changes in technology and competition have diminished many of the traditional roles of location. Yet clusters, or geographic concentrations of interconnected companies, are a striking feature of virtually every national, regional, state, and even metropolitan economy, especially in more advanced nations. The prevalence of clusters reveals important insights about the microeconomics of competition and the role of location in competitive advantage. Even as old reasons for clustering have diminished in importance with globalization, new influences of clusters on competition have taken on growing importance in an increasingly complex, knowledge-based, and dynamic economy. Clusters represent a new way of thinking about national, state, and local economies, and they necessitate new roles for companies, government, and other institutions in enhancing competitiveness.</t>
  </si>
  <si>
    <t>https://drive.google.com/file/d/1vF_D1fSezavrpquaqerCF7XiFK5UQgrO/view?usp=sharing</t>
  </si>
  <si>
    <t>Selection Bias based on obvious success features</t>
  </si>
  <si>
    <t>Number of Paper</t>
  </si>
  <si>
    <t>Paper Analysis</t>
  </si>
  <si>
    <t>Startup Success</t>
  </si>
  <si>
    <t>VC Support</t>
  </si>
  <si>
    <t>Ecosystem</t>
  </si>
  <si>
    <t>Startup Network</t>
  </si>
  <si>
    <t>Sum</t>
  </si>
  <si>
    <t>Quality</t>
  </si>
  <si>
    <t>Very Useful (3)</t>
  </si>
  <si>
    <t>Additional Knowledge (2)</t>
  </si>
  <si>
    <t>Read Later (1)</t>
  </si>
  <si>
    <t>Geographic distance between venture capitalists
and target firms and the value of quality signals</t>
  </si>
  <si>
    <t>Christos Kolympiris, Sebastian Hoenen, Nicholas Kalaitzandonakes</t>
  </si>
  <si>
    <t>Industrial and Corporate Change</t>
  </si>
  <si>
    <t>In this paper, we examine whether the value of quality signals (patent activity and founding team char-
acteristics) transmitted by emerging biotechnology firms is influenced by the geographic distance be-
tween venture capitalists and biotechnology firms. In line with the notion that signals are more valuable
to receivers in environments of elevated information asymmetries and under the premise that long-
distance transactions present such an environment, we empirically reveal that patent activity and found-
ing team entrepreneurial experience are more effective in increasing venture capital investments when
the distance between investors and investees is elevated. Our results, therefore, corroborate the ration-
ale that because tacit knowledge circulates mostly within local circles, it diminishes the value of signals
for local transactions, as a priori knowledge about potential target firms is more easily assessed by in-
vestors. Our study contributes to the literature on the factors that drive the value of signals, on the litera-
ture that studies the function of patents and other forms of intellectual property as a means to boost
firm performance, and on the literature on the geography of venture capital investments.</t>
  </si>
  <si>
    <t>10.1093/icc/dtw057</t>
  </si>
  <si>
    <t>https://drive.google.com/file/d/1rzWlcPUOv1QiHeUAR8mCGz7ILYGhMRV_/view?usp=share_link</t>
  </si>
  <si>
    <t>Reviewed?</t>
  </si>
  <si>
    <t>DONE</t>
  </si>
  <si>
    <t>The Impact of Venture Capital Monitoring</t>
  </si>
  <si>
    <t>SHAI BERNSTEIN, XAVIER GIROUD, RICHARD R. TOWNSEND</t>
  </si>
  <si>
    <t>We show that venture capitalists’ (VCs) on-site involvement with their portfolio com-
panies leads to an increase in both innovation and the likelihood of a successful exit.
We rule out selection effects by exploiting an exogenous source of variation in VC
involvement: the introduction of new airline routes that reduce VCs’ travel times to
their existing portfolio companies. We confirm the importance of this channel by con-
ducting a large-scale survey of VCs, of whom almost 90% indicate that direct flights
increase their interaction with their portfolio companies and management, and help
them better understand companies’ activities.</t>
  </si>
  <si>
    <t>10.1111/jofi.12370</t>
  </si>
  <si>
    <t>https://drive.google.com/file/d/1axJxaSfsUPS_Ijl5_gI-9usC1Zo6K__C/view?usp=share_link</t>
  </si>
  <si>
    <t>Buy Local? The geography of
successful and unsuccessful venture capital expansion</t>
  </si>
  <si>
    <t>We document geographic concentration by both venture capital firms and venture capital-financed companies in three cities – San Francisco, Boston, and New York. We find that firms open new satellite offices based on the success rate of venture capital-backed investments in an area. Geography is also significantly related to outcomes. Venture capital firms based in
locales that are venture capital centers outperform, regardless of the stage of the investment. Ironically, this outperformance arises from outsized performance outside of the venture capital
firms’ office locations, including in peripheral locations. Outperformance of non-local
investments suggests that policy makers in regions without local venture capitalists might want
to mitigate costs associated with established venture capitalists investing in their geographies
rather than encouraging the establishment of new venture capital firms</t>
  </si>
  <si>
    <t>Henry Chen, Paul Gompers, Anna Kovner,  Josh Lerner</t>
  </si>
  <si>
    <t>Social Science Research Network</t>
  </si>
  <si>
    <t>Startups’demand for non-financial resources: Descriptive evidence
 from an international corporate venture capitalist</t>
  </si>
  <si>
    <t>Jan Riepe, Kristina Uhl</t>
  </si>
  <si>
    <t>Finance Research Letters</t>
  </si>
  <si>
    <t>Using proprietary data from Europe and Latin America, we show how startup characteristics shape their demand for non-financial resources from their corporate venture capitalists. We first highlight the investors’ commercial network, investors’ ties to other investors and their contacts to retail clients as the most important non-financial resources for early-stage startups. Second, we uncover systematic differences in startups’ demand for non-financial resources depending on startups’ slack financial resources, their business model, and size. Overall, we provide direct evidence on startups’ demand for non-financial resources which is hard to detect and to quantify for researchers based on public data</t>
  </si>
  <si>
    <t>https://doi.org/10.1016/j.frl.2019.101321</t>
  </si>
  <si>
    <t>https://drive.google.com/file/d/1-F3t67MxHUcvf-yyQFBU_LpDvHWtoKiK/view?usp=sharing</t>
  </si>
  <si>
    <t>Spatial proximity effects and regional equity gaps in the venture capital market: evidence from Germany and the United Kingdom</t>
  </si>
  <si>
    <t xml:space="preserve">Distance and Syndicate Distance, Lead VC, Lead VC Distance, Syndicate, Syndicate Distance, Local Bias, N of New Ventures, N of Local VCs, N of outside VCS, N of Patents, N of Universities, VC Age, VC Size, N of IPOs, Sector Experiences, Network Degree , Venture Type, Hot State, Local Investment, Syndicate Size, Lead VC Characteristics, </t>
  </si>
  <si>
    <t>Research on Venture Capital Investments in Germany, not success</t>
  </si>
  <si>
    <t>Does geographic distance to the premises of the venture capitalist affect the performance of investee firms?</t>
  </si>
  <si>
    <t>Open</t>
  </si>
  <si>
    <t>Progress</t>
  </si>
  <si>
    <t>Done</t>
  </si>
  <si>
    <t>Proximity</t>
  </si>
  <si>
    <t>Venture capital (VC) plays an increasingly important role in advancing the technological innovation of en-
terprises.AgrowingbodyofevidencesuggeststhatVCinfluencesthetechnologicalperformanceofenterprises.
Noknownempiricalstudieshavefocusedontherelationshipsbetweengeographicdistanceandtheenterprise's
technological performance. This study exploreswhether and howthe geographic distance between VCinstitu-
tions and enterprises influences the enterprise's technological performance from the perspective of the VC's
equitybackgrounds(governmental,private,andforeign)andinvestmentstrategies(independentandjoint).The
findingsandconclusionsareasfollows:(1)ThegeographicdistancebetweenVCinstitutionsandenterpriseshas
a significantly nonlinear effect on the technological performance of the VC-backed enterprise, and they are
negatively correlated when the geographic distance is less than the specified threshold. (2) The influence of
geographic distance on the enterprise's technological performance varies with the VC's equity backgrounds.
Geographic distance has a more significant impact on the technological performance of governmental VC-and
private VC-backed enterprise compared with foreign VC-backed enterprise. (3) For different investment stra-
tegies, geographic distance also has a distinct influence on the enterprise's technological performance. When
compared with joint VC, the impact of independent VC on the enterprise's technological performance is more
influenced bygeographicdistance.</t>
  </si>
  <si>
    <t>Massimo G. Colombo, Diego D’Adda, Anita Quas</t>
  </si>
  <si>
    <t>The geography of venture capital and entrepreneurial ventures’ demand for external equity</t>
  </si>
  <si>
    <t>In this paper, we study how the geography of venture capital (VC) and the location of entrepreneurial ventures
affect the propensity of the latter to seek external equity financing. We analyse a sample of 533 European high-
tech entrepreneurial ventures and examine their external equity-seeking behaviour in the 1984–2009 period. We
find that ventures are more likely to seek external equity when the local availability of VC is higher, whereas the
level of competition of the local VC market plays a negligible role. The stimulating effect of the availability of VC
on the demand for external equity rapidly decreases with distance and vanishes at approximately 250 km. It also
vanishes when national borders are crossed, except for countries at close cultural and institutional distance.
Moreover, the distance decay of the stimulating effect of the availability of VC varies with the characteristics of
prospective VC investors, namely, their private or public ownership and governance, and their reputation. These
results have important implications for the policy that European countries and the European Commission should
implement to foster the demand for VC by entrepreneurial ventures, thereby improving the functioning of the VC
market in Europe.</t>
  </si>
  <si>
    <t>https://doi.org/10.1016/j.respol.2018.12.004</t>
  </si>
  <si>
    <t>https://drive.google.com/file/d/1CrfJd4YVElHpyg0gNpxNtgR-w8CfTjcN/view?usp=share_link</t>
  </si>
  <si>
    <t>Liquidity Events and the Geographic Distribution of Entrepreneurial Activity</t>
  </si>
  <si>
    <t>Stuart, Sorensen</t>
  </si>
  <si>
    <t>In this paper, we examine the ecological consequences of initial public offerings (IPOs) and acquisitions, specifically how the spatial distribution of these events influences the location-specific founding rates of new companies. We explore whether relatively small spatial units (metropolitan statistical areas) in close geographic proximity to firms that recently have been acquired or experienced an IPO exhibit high new venture creation rates and whether the magnitudes of these effects depend on regional differences in statutes governing the freedom of employees to move between employers. Count models of biotechnology firm foundings establish three findings: (1) IPOs of organizations located contiguous to or within an MSA accelerate the founding rate within that MSA, (2) acquisitions of biotech firms situated near to or within an MSA accelerate the founding rate within the MSA, but only when the acquirer enters from outside of the biotech industry, and (3) the enforceability of post-employment non-compete covenants, which is determined at the state level, strongly moderates these effects.</t>
  </si>
  <si>
    <t>https://drive.google.com/file/d/1oSJGakeslsBn8qZEJnqCEVlMjQ4mvlmC/view?usp=sharing</t>
  </si>
  <si>
    <t>Which Ties Matter When? The Contingent Effects of Interorganizational Partnerships
on IPO Success</t>
  </si>
  <si>
    <t>Ranjay Gulati, Monica C. Higgins</t>
  </si>
  <si>
    <t>This paper investigates the contingent value of interorganizational relationships at the time of
a young firm 's initial public offering (IPO). We compare the signaling value to young firms of
having ties with two types of  interorganizational partnerships: endorsement relationships such
as those with venture capital firms and investment banks, and strategic alliance partnerships.
We propose that, under different equity market conditions, potential investors in an issuing firm attend to different types of uncertainty: attention to these different types of uncertainty affects investors ' perceptions of the relative value of a young firm 's different kinds of endorsements
and partnerships and, hence, IPO success. Results from a sample of young biotechnology firms show that ties to prominent venture capital firms are particularly beneficial to IPO success
during cold markets, while ties to prominent investment banks are particularly beneficial to IPO success during hot markets: a firm's strategic alliances with major pharmaceutical/health care
firms did not have such contingent effects. Implications for understanding the contingent value
of interorganizational ties are discussed</t>
  </si>
  <si>
    <t>https://drive.google.com/file/d/1C0VMv_TDIiX9pfi-5onJW5Qy9CxJtwIk/view?usp=share_link</t>
  </si>
  <si>
    <t>Using Deep Learning to Find the Next
Unicorn: A Practical Synthesis</t>
  </si>
  <si>
    <t>Cao et al.</t>
  </si>
  <si>
    <t>Startups often represent newly established business models associated with disruptive innovation
and high scalability. They are commonly regarded as powerful engines for economic and
social development. Meanwhile, startups are heavily constrained by many factors such as
limited financial funding and human resources. Therefore, the chance for a startup to eventually
succeed is as rare as “spotting a unicorn in the wild”. Venture Capital (VC) strives to identify
and invest in unicorn startups during their early stages, hoping to gain a high return. To avoid
entirely relying on human domain expertise and intuition, investors usually employ data-driven
approaches to forecast the success probability of startups. Over the past two decades, the
industry has gone through a paradigm shift moving from conventional statistical approaches
towards becoming machine-learning (ML) based. Notably, the rapid growth of data volume
and variety is quickly ushering in deep learning (DL), a subset of ML, as a potentially superior
approach in terms of capacity and expressivity. In this work, we carry out a literature review
and synthesis on DL-based approaches, covering the entire DL life cycle. The objective is a)
to obtain a thorough and in-depth understanding of the methodologies for startup evaluation
using DL, and b) to distil valuable and actionable learning for practitioners. To the best of our
knowledge, our work is the first of this kind</t>
  </si>
  <si>
    <t>https://drive.google.com/file/d/1WwwPHU7n6maese_3zpXbvPkQNVfW0cFc/view?usp=share_link</t>
  </si>
  <si>
    <t>Zhang et al.</t>
  </si>
  <si>
    <t>Report</t>
  </si>
  <si>
    <t>Our project tests link prediction in a bipartite graph
in the context of identifying new investment opportunities.
The bipartite graph is a representation of observed invest-
ments in the technology start-up world where edges repre-
sent specific investments. We attempt to predict future in-
vestments using simple preferential attachment scores and
an augmented score that makes use of unsupervised learn-
ing to encode coarse assortative matching in our model
(Segmented Preferential Attachment). We then evaluate the
performance of these methods against held-out data and
find some evidence for predictive power but low practical
significance.</t>
  </si>
  <si>
    <t>Link Prediction in Bipartite Venture Capital Investment Networks</t>
  </si>
  <si>
    <t>https://drive.google.com/file/d/1RIeOSmo8Wvc_i8ZUgly0Sp-QtRm3ajWd/view?usp=sharing</t>
  </si>
  <si>
    <t>Predicting success in the worldwide start-up network</t>
  </si>
  <si>
    <t>By drawing on large-scale online data we construct and analyze the time-
varying worldwide network of professional relationships among start-ups. The
nodes of this network represent companies, while the links model the flow of
employees and the associated transfer of know-how across companies. We use
network centrality measures to assess, at an early stage, the likelihood of the
long-term positive performance of a start-up, showing that the start-up net-
work has predictive power and provides valuable recommendations doubling
the current state of the art performance of venture funds. Our network-based
approach not only offers an effective alternative to the labour-intensive screen-
ing processes of venture capital firms, but can also enable entrepreneurs and
policy-makers to conduct a more objective assessment of the long-term poten-
tials of innovation ecosystems and to target interventions accordingly.</t>
  </si>
  <si>
    <t>https://drive.google.com/file/d/1cVWW9TBP1xbd8014QH5qRUnEwc02XaTW/view?usp=sharing</t>
  </si>
  <si>
    <t>Interorganizational endorsements and the performance of entrepreneurial ventures</t>
  </si>
  <si>
    <t>Stuart, T. E., Hoang, H., &amp; Hybels, R. C.</t>
  </si>
  <si>
    <t>Administrative science quarterly</t>
  </si>
  <si>
    <t xml:space="preserve">Bonaventura, M., Ciotti, V., Panzarasa, P., Liverani, S., Lacasa, L., &amp; Latora, V. </t>
  </si>
  <si>
    <t>Kee-Hong Bae, Rene  M. Stulz , Hongping Tan</t>
  </si>
  <si>
    <t>Do local analysts know more? A cross-country study of
the performance of local analysts and foreign analysts</t>
  </si>
  <si>
    <t>This paper examines whether analysts resident in a country make more precise earnings forecasts for firms in that
country than non-resident analysts. Using a sample of 32 countries, we find an economically and statistically significant
local analyst advantage even after controlling for firm and analyst characteristics. The local advantage is high in countries
where earnings are smoothed more, less information is disclosed by firms, and firm idiosyncratic information explains a
smaller fraction of stock returns. It is negatively related to whether a firm has foreign assets and to market participation by
foreign investors and by institutions, and positively related to holdings by insiders. The extent to which U.S. investors
underweight a country’s stocks is positively related to that country’s local analyst advantage</t>
  </si>
  <si>
    <t>https://drive.google.com/file/d/1_2OWV5uwTgU7uIjWQ16IMgl1pxMHoOP4/view?usp=share_link</t>
  </si>
  <si>
    <t>https://drive.google.com/file/d/1wtgORcyDr4H1Qo78TES9_17CtFX0m0Xx/view?usp=share_link</t>
  </si>
  <si>
    <t>This paper investigates how the interorganizational networks of young companies affect their ability to acquire the resources necessary for survival and growth. We propose that, faced with great uncertainty about the quality of young companies, third parties rely on the prominence of the affiliates of those companies to make judgments about their quality and that young companies “endorsed” by prominent exchange partners will perform better than otherwise comparable ventures that lack prominent associates. Results of an empirical examination of the rate of initial public offering (IPO) and the market capitalization at IPO of the members of a large sample of venture-capital-backed biotechnology firms show that privately held biotech firms with prominent strategic alliance partners and organizational equity investors go to IPO faster and earn greater valuations at IPO than firms that lack such connections. We also empirically demonstrate that much of the benefit of having prominent affiliates stems from the transfer of status that is an inherent byproduct of interorganizational associations.</t>
  </si>
  <si>
    <t>Administrative Science Quarterly</t>
  </si>
  <si>
    <t>Q1</t>
  </si>
  <si>
    <t>Journal Importance</t>
  </si>
  <si>
    <t>-</t>
  </si>
  <si>
    <t>Q2</t>
  </si>
  <si>
    <t>Q3</t>
  </si>
  <si>
    <t>Conference</t>
  </si>
  <si>
    <t>Q4</t>
  </si>
  <si>
    <t>What do we know about geographical knowledge
spillovers and regional growth?: A survey of the
literature</t>
  </si>
  <si>
    <t>Thomas Döring &amp; Jan Schnellenbach</t>
  </si>
  <si>
    <t>Modern (endogenous) growth theory tells us that knowledge is crucial for the sustained growth of high-income economies. Against this background, the paper provides a survey of theoretical and empirical findings highlighting the question of how geographically limited knowledge diffusion can help to explain clusters of regions with persistently different levels of growth. It discusses this topic in two steps. First, the theoretical concept of knowledge spillovers is outlined by discussing the different types of knowledge, the spatial dimension of knowledge spillovers, and the geographical mechanisms and structural conditions of knowledge diffusion. Second, it analyses the empirical evidence concerning the theoretical
propositions.</t>
  </si>
  <si>
    <t>https://drive.google.com/file/d/17x_nMA2J5LUSq7FZ0ANnQZf1Q2ipar0A/view?usp=share_link</t>
  </si>
  <si>
    <t>Knowledge-Based Regional Economic Development: A Synthetic Review of
Knowledge Spillovers, Entrepreneurship,
and Entrepreneurial Ecosystems</t>
  </si>
  <si>
    <t>Haifeng Qian</t>
  </si>
  <si>
    <t>The geographical nature of knowledge spillovers and entrepreneurship has been well documented in the literature. In most regional or urban studies, these two topics are separately discussed. This research reviews literature at the intersection of
knowledge spillovers, entrepreneurship, and regional economic development. The key argument is that entrepreneurship
can serve as a mechanism for transmitting knowledge spillovers and accordingly contribute to regional innovation, cluster
formation, and economic development. However, the effectiveness of this mechanism depends on various factors in the regional entrepreneurial ecosystem, notably including knowledge bases, absorptive capacity, competition, networks of
people, diversity, and culture.</t>
  </si>
  <si>
    <t>https://drive.google.com/file/d/17IHyP6y3CS8l1LioopKNeje5ESMqHti7/view?usp=share_link</t>
  </si>
  <si>
    <t>International Venture Capital Research: From cross-country comparisons to crossing borders</t>
  </si>
  <si>
    <t>Mike Wright, Sarika Pruthi and Andy Lockett</t>
  </si>
  <si>
    <t>International Journal of Management Reviews</t>
  </si>
  <si>
    <t>https://drive.google.com/file/d/1hp3rje-VaHwIkS-mDlzQjLxM_PUoUmfE/view?usp=sharing</t>
  </si>
  <si>
    <t>Venture capital (VC) has become an international phenomenon, and VC firms are a specific kind of service firm whose characteristics have distinctive implications for international
behaviour. There is now a disparate body of research on international aspects of VC across a number of disciplines comprising finance, economics, strategy, entrepreneurship, inter-
national business and economic geography. A novel aspect of this paper is that we review and synthesize this disparate literature. A number of research gaps and limitations in the theoretical and methodological approaches involved in previous studies are identified and suggestions made for further research. We show that the vast majority of the literature relates to cross-country comparisons; that is, macro-level comparisons of VC industries across different countries and micro-level comparisons of VC behaviour across countries. From our review of the literature, we argue that an under-researched area concerns the influence of institutional contexts, especially the role of social networks and cultures. Furthermore, our review of the literature indicates that there is a major research gap in relation to work dealing with the crossing of country borders by VC firms. We suggest that resource-based, capabilities, institutional and network theories may be offer insights to further our understanding of the behaviour of VC firms in this area.</t>
  </si>
  <si>
    <t>The geography of venture capital
investments in the UK</t>
  </si>
  <si>
    <t>Colin M Mason,  Richard T Harrison</t>
  </si>
  <si>
    <t>Transactions of the Institute of British Geographers</t>
  </si>
  <si>
    <t>The role of venture capital in economic development increasingly is recognized as central to the development of an entrepreneurial economy. However, the supply of venture capital is not distributed evenly across the space economy. In the UK, evidence for the 1980s demonstrated that venture capital investments were highly concentrated in Greater London and the South East, reinforcing the existing patterns of regional concentration of economic activity. This paper reviews the regional distribution of venture capital investments in the UK in the 1990s, a period of massive growth in venture capital investment activity. It concludes that the regional concentration of venture capital investment has been considerably reduced since the 1980s. However, more detailed analysis of the data demonstrates that this shift towards a less unequal regional distribution has been driven by so-called ‘merchant’ venture capital – investments in large-scale management buy-outs and buy-ins which facilitate corporate restructuring through ownership change and often have adverse consequences for employment. ‘Classic’ venture capital – investments in young entrepreneurial companies with high growth potential – remains highly concentrated in London and the South East, and also in Scotland. This reflects both supply- and demand-side factors. The Government’s new regional venture capital funds are unlikely to be effective in closing this regional finance gap. An alternative approach to intervention, in the context of the increasing globalization of venture capital investments, is to seek to attract venture capital money and expertise from
elsewhere.</t>
  </si>
  <si>
    <t>https://drive.google.com/file/d/1PMPvz2UbWuGgkkHKUgGTrVFPF9ShBREI/view?usp=share_link</t>
  </si>
  <si>
    <t>Proximity and inter-organizational collaboration: A literature Review</t>
  </si>
  <si>
    <t>J. Knoben and L.A.G. Oerlemans</t>
  </si>
  <si>
    <t>The proximity concept is used in many different ways in the literature. These dimensions of proximity are, however, defined and measured in many different (sometimes even contradictory) ways, show large amounts of overlap, and often are under- or overspecified. The goal of this paper is to specify the different dimensions of proximity relevant in inter-organizational collaboration more precisely and to provide definitions of these dimensions. The research presented contributes to reducing the ambiguity of the proximity concept as used in the literature.
Based on the above, the following research question is addressed in this paper: ‘Which dimensions of proximity are relevant in inter-organizational collaboration and how are they defined?’ A systematic literature review is presented in order to disentangle the dimensions of the proximity concept. Based on this literature review, three dimensions of proximity relevant in inter-organizational collaboration are distinguished: geographical proximity, organizational proximity and technological proximity. Examples (case studies) from the literature are used to illustrate the current conceptual ambiguity as well as to clarify how
the proposed dimensions of proximity reduce this conceptual ambiguity.</t>
  </si>
  <si>
    <t>https://drive.google.com/file/d/1GCDnZo02iAlIpNf0Xwf2bXUjmGW7M1UU/view?usp=share_link</t>
  </si>
  <si>
    <t>Nicolas Bédu, Olivier Brossard, Matthieu Montalban</t>
  </si>
  <si>
    <t>Cities are centers for the integration of capital and incubators of invention, and attracting venture capital (VC) is of great
importance for cities to advance in innovative technology and business models towards a sustainable and prosperous future.
Yet we still lack a quantitative understanding of the relationship between urban characteristics and VC activities. In this paper,
we find a clear nonlinear scaling relationship between VC activities and the urban population of Chinese cities. In such nonlinear
systems, the widely applied linear per capita indicators would be either biased to larger cities or smaller cities depends on
whether it is superlinear or sublinear, while the residual of cities relative to the prediction of scaling law is a more objective and
scale-invariant metric. Such a metric can distinguish the effects of local dynamics and scaled growth induced by the change of
population size. The spatiotemporal evolution of such metrics on VC activities reveals three distinct groups of cities, two of
which stand out with increasing and decreasing trends, respectively. And the taxonomy results together with spatial analysis also signify different development modes between large urban agglomeration regions. Besides, we notice the evolution of
scaling exponents on VC activities are of much larger fluctuations than on socioeconomic output of cities, and a conceptual
model that focuses on the growth dynamics of different sized cities can well explain it, which we assume would be general to
other scenarios.</t>
  </si>
  <si>
    <t>Research on Schumpeterian entrepreneurship identifies new high-growth startup companies as key factors in
technological innovation and economic growth. While economists have tended to focus on high-growth, high-
tech startup rms as the unit of analysis, economic geographers and urbanists have examined the geographic
dimensions of entrepreneurship, particularly the rise of entrepreneurial clusters and eco systems. We focus here
on a particular type of Schumpeterian entrepreneurship associated with high-tech startup companies, or what we
refer to as“tech-startup entrepreneurship.” We contend that the organization of such Schumpeterian en-
trepreneurship occurs at two spatial scales. At the macro-geographic level, it is highly clustered and concentrated
in a relatively small number of global cities or metro areas. At the micro-geographic level, it is highly con-
centrated in distinct districts or micro-clusters within these leading cities and metro areas. To examine the
geographic dimensions of tech-startup entrepreneurship across these spatial scales, we use previously unused
data on venture capital- nanced startups at the metropolitan and district levels. Our ndings support the hypothesis that tech-startup entrepreneurship is organized across two distinct but related spatial scales, which act
on entrepreneurial activity through di erent mechanisms. These ndings suggest that local diversity and local
specialization can simultaneously potentiate innovation, and that a multi-scalar approach to the geography of
entrepreneurship is prudent.</t>
  </si>
  <si>
    <t>The Venture Capital Revolution</t>
  </si>
  <si>
    <t>Paul Gompers and Josh Lerner</t>
  </si>
  <si>
    <t>Journal of Economic Perspectives</t>
  </si>
  <si>
    <t>Venture capital has emerged as an important intermediary in financial markets, providing capital to young high-technology firms that might have otherwise gone unfunded. Venture capitalists have developed a variety of mechanisms to overcome the problems that emerge at each stage of the investment process. At the same time, the venture capital process is also subject to various pathologies from time to time, which can create problems for investors or entrepreneurs. This article reviews the recent empirical literature on these organizations and points out area where further research is needed.</t>
  </si>
  <si>
    <t>The structure and governance of venture-capital organizations</t>
  </si>
  <si>
    <t>William A. Sahlman</t>
  </si>
  <si>
    <t>Venture-capital organizations raise money from individuals and institutions for investment in early-stage businesses that offer high potential but high risk. This paper describes and analyzes the structure of venture-capital organizations, focusing on the relationship between investors and venture capitalists and between venture-capital firms and the ventures in which they invest. The agency problems in these organizations and to the contracts and operating procedures that have evolved in response are emphasized. Venture-capital organizations are contrasted with large, publicly traded corporations and with leveraged buyout organizations.</t>
  </si>
  <si>
    <t>When do incumbents learn from entrepreneurial ventures?
Corporate venture capital and investing firm innovation rates</t>
  </si>
  <si>
    <t>Gary Dushnitsky, Michael J. Lenox</t>
  </si>
  <si>
    <t>In this paper, we focus on the potential innovative benefits to corporate venture capital (CVC), i.e. equity investments in entrepreneurial ventures by incumbent firms. We propose that corporate venture capital programs may be instrumental in harvesting innovations from entrepreneurial ventures and thus an important part of a firm's overall innovation strategy. We hypothesize that these programs are especially effective in weak intellectual property (IP) regimes and when the firm has sufficient absorptive capacity. We analyze a large panel of public firms over a 20-year period and find that increases in corporate venture capital investments are associated with subsequent increases in firm patenting.</t>
  </si>
  <si>
    <t>Venture Capital Governance and Value Added in Four Countries</t>
  </si>
  <si>
    <t>Sophie Manigart, Harry J. Sapienza, Wim Vermeir</t>
  </si>
  <si>
    <t>Research has identified the means by which venture capitalists (VCs) in the United States add value to their portfolio firms beyond money. The venture capital industry has expanded into other nations, and this study explores the relations of venture capitalists with their portfolio firms in the three largest European venture capital markets –- the United Kingdom, France and the Netherlands. Roles for VCs are categorized as strategic (e.g., providing business advice), interpersonal (e.g., mentoring the CEO), and networking (providing links to other resources). Utilizing agency and organization theory perspectives, this study analyzes governance and decision making issues from the viewpoints of the VCs. Perceived risks and uncertainty are hypothesized to increase the level of interaction between CEO and VC, and to increase the value added by such interaction. Interviews and surveys of venture capitalists and the CEOs of their portfolio firms were conducted in the US in 1987-1988. In 1982, a similar questionnaire was administered to VCs in the three European countries. Both similarities and differences were found among the four countries. In the US and the UK, for example, VCs interact more frequently with their portfolio firms, to monitor and assist them, than do those in France and the Netherlands. However, in all four countries VCs rate the greatest value added as strategic, and the least as networking. The situations in which VCs are likely to provide assistance are also</t>
  </si>
  <si>
    <t>Private Equity Performance: Returns,
Persistence, and Capital Flows</t>
  </si>
  <si>
    <t>Steven Kaplan, Antoinette Schoar</t>
  </si>
  <si>
    <t>This paper investigates the performance of private equity partnerships using a data set of individual fund returns collected by Venture Economics. Over the sample period, average fund returns net of fees approximately equal the S&amp;P 500 although there is a large degree of heterogeneity among fund returns. Returns persist strongly across funds raised by individual private equity partnerships. The returns also improve with partnership experience. Better performing funds are more likely to raise follow-on funds and raise larger funds than funds that perform poorly. This relationship is concave so that top performing funds do not grow proportionally as much as the average fund in the market. At the industry level, we show that market entry in the private equity industry is cyclical. Funds (and partnerships) started in boom times are less likely to raise follow-on funds, suggesting that these funds subsequently perform worse. Aggregate industry returns are lower following a boom, but most of this effect is driven by the poor performance of new entrants, while the returns of established funds are much less affected by these industry cycles. Several of these results differ markedly from those for mutual funds.</t>
  </si>
  <si>
    <t>Thomas Chemmanur, Karthik Krishnan and Debarshi Nandy</t>
  </si>
  <si>
    <t>Do Accelerators Work? If So, How?</t>
  </si>
  <si>
    <t>Hallen et al.</t>
  </si>
  <si>
    <t>Accelerators are entrepreneurial programs that attempt to help ventures learn, often utilizing extensive consultation with mentors, program directors, customers, guest speakers, alumni and peers. While accelerators have rapidly emerged as prominent players in the entrepreneurial ecosystem, entrepreneurs, policy makers, and academics continue to raise questions about their efficacy. Moreover, relevant organizational literature suggests that even if accelerators are associated with better venture outcomes, results could be due to mechanisms other than learning, such as sorting or signaling. Drawing on mixed empirical methods that include proprietary data on the ventures accepted and “almost accepted” to a set of top accelerators, we find evidence that some, but not all, of the early accelerators we study substantially aid and accelerate venture development. We also find some evidence of sorting dynamics. These findings are corroborated using an auxiliary quantitative dataset constructed from publicly observable data. Complementary qualitative fieldwork suggests a key driver of these accelerator effects is a novel learning mechanism we label broad, intensive, and paced consultation. The implication of these insights is that the practices of early accelerators represent a beneficial and likely replicable form of intervention that may also have relevance for independent entrepreneurs, educational programs, and corporate innovation.</t>
  </si>
  <si>
    <t>Venture Capital and the Professionalization of Start-Up Firms: Empirical Evidence</t>
  </si>
  <si>
    <t>Hellmann et. al</t>
  </si>
  <si>
    <t xml:space="preserve"> </t>
  </si>
  <si>
    <t>This paper examines empirical evidence on the impact that venture capitalists can have on the development path of new firms. We use a hand-collected data set on Silicon Valley start-up companies that allows us to "look inside the black box" and analyze the influence of venture capital on the professionalization of firms' internal organization. The evidence suggests that there is a "soft" facet to venture capitalists, in terms of supporting companies to build up their human resources within the organization. Venture capital is also important at the top, in that venture capital backed companies are more likely and faster to bring in outsiders as CEOs. These CEO replacements are often accompanied with the founder departing from the company, suggesting that venture capitalists also exhibit a "hard" facet in terms of exercising control. The paper examines how these various roles are interrelated, and shows how the role of venture capital varies with the state of the company.</t>
  </si>
  <si>
    <t>The Capital Structure Decisions of New Firms</t>
  </si>
  <si>
    <t>Robb &amp; Robinson</t>
  </si>
  <si>
    <t>Review of Financial Studies</t>
  </si>
  <si>
    <t>We study capital structure choices that entrepreneurs make in their firms' initial year of operation, using restricted-access data from the Kauffman Firm Survey. Firms in our data rely heavily on external debt sources, such as bank financing, and less extensively on friends-and-family-based funding sources. Many startups receive debt financed through the personal balance sheets of the entrepreneur, effectively resulting in the entrepreneur holding levered equity claims in their startups. This fact is robust to numerous controls, including credit quality. The reliance on external debt underscores the importance of credit markets for the success of nascent business activity.</t>
  </si>
  <si>
    <t>The economics of small business Finance: The roles of private equity and debt markets in the Financial growth cycle</t>
  </si>
  <si>
    <t>Allen N. Berger, Gregory F. Udell</t>
  </si>
  <si>
    <t>This article examines the economics of financing small business in private equity and debt markets. Firms are viewed through a financial growth cycle paradigm in which different capital structures are optimal at different points in the cycle. We show the sources of small business finance, and how capital structure varies with firm size and age. The interconnectedness of small firm finance is discussed along with the impact of the macroeconomic environment. We also analyze a number of research and policy issues, review the literature, and suggest topics for future research.</t>
  </si>
  <si>
    <t>Assessing the Contribution of Venture Capital to Innovation</t>
  </si>
  <si>
    <t>Samuel Kortum, Josh LernerJosh Lerner</t>
  </si>
  <si>
    <t>RAND Journal of Economics</t>
  </si>
  <si>
    <t>We examine the influence of venture capital on patented inventions in the United States across twenty industries over three decades. We address concerns about causality in several ways, including exploiting a 1979 policy shift that spurred venture capital fundraising. We find that increases in venture capital activity in an industry are associated with significantly higher patenting rates. While the ratio of venture capital to R&amp;D averaged less than 3% from 1983-1992, our estimates suggest that venture capital may have accounted for 8% of industrial innovations in that period.</t>
  </si>
  <si>
    <t>Who are the active investors?
Evidence from venture capital</t>
  </si>
  <si>
    <t>Laura Bottazzi, Marco Da Rin, Thomas Hellmann</t>
  </si>
  <si>
    <t>This paper examines the determinants and consequences of investor activism in venture capital. Using a hand-collected sample of European venture capital deals, it shows the importance of human capital. Venture capital firms with partners that have prior business experience are more active recruiting managers and directors, helping with fundraising, and interacting more frequently with their portfolio companies. Independent venture capital firms are also more active than ‘captive’ (bank-, corporate-, or government-owned) firms. After controlling for endogeneity, investor activism is shown to be positively related to the success of portfolio companies.</t>
  </si>
  <si>
    <t>The Economics of Private Equity Funds</t>
  </si>
  <si>
    <t>Andrew Metrick, Ayako Yasuda</t>
  </si>
  <si>
    <t>This article analyzes the economics of the private equity industry using a novel model and dataset. We obtain data from a large investor in private equity funds, with detailed records on 238 funds raised between 1993 and 2006. We build a model to estimate the expected revenue to managers as a function of their investor contracts, and we test how this estimated revenue varies across the characteristics of our sample funds. Among our sample funds, about two-thirds of expected revenue comes from fixed-revenue components that are not sensitive to performance. We find sharp differences between venture capital (VC) and buyout (BO) funds. BO managers build on their prior experience by increasing the size of their funds faster than VC managers do. This leads to significantly higher revenue per partner and per professional in later BO funds. The results suggest that the BO business is more scalable than the VC business and that past success has a differential impact on the terms of their future funds.</t>
  </si>
  <si>
    <t>This article examines the representation of venture capitalists on the boards of private firms in their portfolios. If venture capitalists are intensive monitors of managers, their involvement as directors should be more intense when the need for oversight is greater. I show that venture capitalists' representation on the board increases around the time of chief executive officer turnover, while the number of other outsiders remains constant. I also show that distance to the firm is an important determinant of the board membership of venture capitalists, as might be anticipated if the oversight of local firms is less costly than more distant businesses.</t>
  </si>
  <si>
    <t>Josh Lerner</t>
  </si>
  <si>
    <t>Venture Capitalists and the Oversight of Private Firms</t>
  </si>
  <si>
    <t>Government, Venture Capital and the Growth of European High-Tech Entrepreneurial Firms</t>
  </si>
  <si>
    <t>Grilli et al.</t>
  </si>
  <si>
    <t>Using a new European Union-sponsored firm-level longitudinal dataset, we assess the impact of government-managed (GVC) and independent venture capital (IVC) funds on the sales and employee growth of European high-tech entrepreneurial firms. Our results show that the main statistically robust and economically relevant positive effect is exerted by IVC investors on firm sales growth. Conversely, the impact of GVC alone appears to be negligible. We also find a positive and statistically significant impact of syndicated investments by both types of investors on firm sales growth, but only when led by IVC investors. Our results remain stable after controlling for endogeneity, survivorship bias, reverse causality, anticipation effects, legal and institutional differences across countries and over time and are stable with respect to potential non-linear effects of age and size of entrepreneurial firms. Overall, our analysis casts doubt on the ability of governments to support high-tech entrepreneurial firms through a direct and active involvement in VC markets.</t>
  </si>
  <si>
    <t>University spin-out companies and venture capital</t>
  </si>
  <si>
    <t>Wright et al.</t>
  </si>
  <si>
    <t>The creation of university spin-out companies that create wealth is a major policy objective of governments and universities. Finance is a catalyst of this wealth creation yet access to venture capital is a major impediment faced by these companies. In this article we adopt a finance pecking order perspective to examine the problems faced by those university spin-out companies seeking to access venture capital. We triangulate evidence from spin-out companies, university technology transfer offices and venture capital firms in the UK and Continental Europe to identify the problems and to suggest policy developments for these parties as well as government. We compare perceptions of high-tech venture capital firms that invest in spin-outs with those that do not, and also consider VCs’ views on spin-outs versus other high-tech firms. Our evidence identifies a mismatch between the demand and supply side of the market. In line with the pecking order theory, venture capitalists prefer to invest after the seed stage. However, in contrast to the pecking order theory, TTOs see venture capital as more important than internal funds early on. We develop policy implications for universities, technology transfer offices, academic entrepreneurs, venture capital firms and government and suggest areas for further research.</t>
  </si>
  <si>
    <t>On the Life Cycle Dynamics of Venture-Capital- and Non-Venture-Capital-Financed Firms</t>
  </si>
  <si>
    <t>We use data over 25 years to understand the life cycle dynamics of VC- and non-VC-financed firms. We find successful and failed VC-financed firms achieve larger scale but are not more profitable at exit than matched non-VC-financed firms. Cumulative failure rates of VC-financed firms are lower, with the difference driven largely by lower failure rates in the initial years after receiving VC. Our results are not driven by VCs disguising failures as acquisitions or by certain types of VCs. The performance difference between VC- and non-VC-financed firms narrows in the post-internet bubble years, but does not disappear.</t>
  </si>
  <si>
    <t>Venture-Capital Syndication: Improved
Venture Selection vs. the Value-Added Hypothesis</t>
  </si>
  <si>
    <t>Brander et al.</t>
  </si>
  <si>
    <t>Syndication arises when venture capitalists jointly invest in projects. We model and test two possible reasons for syndication: project selection, as an additional venture capitalist provides an informative second opinion; and complementary management skills of additional venture capitalists. The central question is whether venture capitalists are engaged primarily in selection or in managerial value added. These alternatives imply contrasting predictions about comparative returns to syndicated and standalone investments. Our empirical analysis, using Canadian data, finds that syndicated investments have higher returns, favoring the value‐added interpretation. We also discuss risk sharing and project scale as possible reasons for syndication.</t>
  </si>
  <si>
    <t>A Survey of Venture Capital Research</t>
  </si>
  <si>
    <t>Rin et al.</t>
  </si>
  <si>
    <t>This survey reviews the growing body of academic work on venture capital. It lays out the major data
sources used. It examines the work on venture capital investments in companies, looking at issues
of selection, contracting, post-investment services and exits. The survey considers recent work on
organizational structures of venture capital firms, and the relationship between general and limited
partners. It discusses the work on the returns to venture capital investments. It also examines public
policies, and the role of venture capital in the economy at large.</t>
  </si>
  <si>
    <t>Smart Institutions, Foolish Choices? The Limited Partner Performance Puzzle</t>
  </si>
  <si>
    <t>Lerner et al.</t>
  </si>
  <si>
    <t>The returns that institutional investors realize from private equity investments differ dramatically across institutions. Using detailed and hitherto unexplored records of fund investors and performance, we document large heterogeneity in the performance of different classes of limited partners. In particular, endowments' annual returns are nearly 14% greater than average. Funds selected by investment advisors and banks lag sharply. These results are robust to controlling for the type and year of the investment, as well as to the use of different specifications. Analyses of reinvestment decisions and young funds suggest that the results are not primarily due to endowments' greater access to established funds. Finally, we examine the differences in the choice of intermediaries across various institutional investors and their relationship to success. We find that LPs that have higher average IRRs also tend to invest in older funds and have a smaller fraction of GPs in their geographic area, and that the performance of university endowments is correlated with measures of the quality and loyalty of the student body.</t>
  </si>
  <si>
    <t>Governmental and independent venture capital investments in Europe: A firm-level performance analysis</t>
  </si>
  <si>
    <t>Cumming et al.</t>
  </si>
  <si>
    <t>Journal of Corporate Finance</t>
  </si>
  <si>
    <t>This paper examines the impact of government versus private independent venture capital (VC) backing on the exit performance of entrepreneurial firms. Our analyses are based on the VICO dataset, which avoids the coding problems of VC type in the Thompson Financial SDC dataset. The data indicate that private independent VC-backed companies have better exit performance than government-backed companies. Mixed-syndicates of private-independent and governmental VC investors give rise to a higher (but not statistically different) likelihood of positive exits than that of IVC-backing. Our findings are not influenced by the composition of the syndicate in terms of size and institutional heterogeneity. Our results remain stable after controlling for endogeneity concerns, selection bias, omitted variable bias, legal and institutional differences across countries and over time through several econometric techniques. Moreover, our results are not driven by: i) the holding period of the different types of VC investors; ii) the potential signaling effect of GVC towards IVC investors; iii) the firm's financial structure and net cash-flow ratio; iv) the investment stage; and v) the distance between the VC investor and the target company.</t>
  </si>
  <si>
    <t>Does governmental venture capital spur invention and innovation?
Evidence from young European biotech companies</t>
  </si>
  <si>
    <t>Fabio Bertoni, Tereza Tykvová</t>
  </si>
  <si>
    <t>This paper explores whether and how governmental venture capital investors (GVCs) spur invention and
innovation in young biotech companies in Europe. To gauge invention we focus on the simple patent stock
at the company level, while innovation is proxied by the citation-weighted patent stock. Our findings
indicate that GVCs, as stand-alone investors, have no impact on invention and innovation. However, GVCs
boost the impact of independent venture capital investors (IVCs) on both invention and innovation. We
conclude that GVCs are an ineffective substitute, but an effective complement, of IVCs. We also distinguish
between technology-oriented GVCs (TVCs) and development-oriented GVCs (DVCs). We find that DVCs
are better at increasing firm’s inventions, and that TVCs, combined with IVCs, support innovations.</t>
  </si>
  <si>
    <t>Cost of Experimentation and the Evolution of Venture Capital</t>
  </si>
  <si>
    <t>Michael Ewens, Ramana Nanda, Matthew Rhodes-Kropf</t>
  </si>
  <si>
    <t>We study how technological shocks to the cost of starting new businesses have led the venture capital model to adapt in fundamental ways over the prior decade. We both document and provide a framework to understand the changes in the investment strategy of VCs in recent years—an increased prevalence of a "spray and pray" investment approach—where investors provide a little funding and limited governance to an increased number of startups that they are more likely to abandon, but where initial experiments significantly inform beliefs about the future potential of the venture. This adaptation and related entry by new financial intermediaries has led to a disproportionate rise in innovations where information on future prospects is revealed quickly and cheaply and has reduced the relative share of innovation in complex technologies where initial experiments cost more and reveal less.</t>
  </si>
  <si>
    <t>The financial and innovation literature generally claims that venture capital (VC) investments spur the growth of new technology-based firms (NTBFs). However, it has proved difficult so far to separate the “treatment” effect of the VC investment from the “selection” effect attributable to the ability of the VC investor to screen high growth NTBFs. The aim of this work is to test whether VC investments have a positive treatment effect on the growth of employment and sales of NTBFs. For this purpose we consider a 10-year longitudinal data set for 538 Italian NTBFs, most of which are privately held. The sample includes both VC-backed and non-VC-backed firms. We estimate Gibrat-law-type dynamic panel-data models augmented with time-varying variables that capture the VC status of firms. To control for the endogeneity of VC investments we use several GMM estimators. The econometric results strongly support the view that VC investments positively influence firm growth. The treatment effect of VC investments is of large economic magnitude, especially on growth of employment. Most of it is obtained immediately after the first round of VC finance. Conversely, the selection effect of VC appears to be negligible in the Italian context.</t>
  </si>
  <si>
    <t>Venture Capitalists as Principals:
Contracting, Screening, and Monitoring</t>
  </si>
  <si>
    <t>Kaplan, Strömberg</t>
  </si>
  <si>
    <t>The American Economic Review</t>
  </si>
  <si>
    <t xml:space="preserve">Picking winners or building them? Alliance, intellectual, and human capital as selection criteria in venture financing and performance of biotechnology startups
</t>
  </si>
  <si>
    <t>Joel A. C. Baum and Brian Silverman</t>
  </si>
  <si>
    <t>In the entrepreneurial setting, financial intermediaries such as venture capital firms (VCs) are perhaps the dominant source of selection shaping the environment within which new ventures evolve. VCs affect selection both by acting as a “scout” able to identify future potential and as a “coach” that can help realize it. Despite the large literature on the role of VCs in encouraging startups, it is generally taken for granted that VCs are expert scouts and coaches, and so the ways in which VCs actually enhance startup performance are not well understood. In this study, we examine whether VCs' emphasize picking winners or building them by comparing the effects of startups' alliance, intellectual, and human capital characteristics on VCs decisions to finance them with the effects of the same characteristics on future startup performance. Our findings point to a joint logic that combines the roles: VCs finance startups that have strong technology, but are at risk of failure in the short run, and so in need of management expertise. Our findings thus support the belief in VC expertise, but only to a point. VCs also appear to make a common attribution error overemphasizing startups' human capital when making their investment decisions.</t>
  </si>
  <si>
    <t>Venture capital and the structure of capital markets: banks versus stock markets</t>
  </si>
  <si>
    <t>Bernard S. Black, Ronald J. Gilson</t>
  </si>
  <si>
    <t>The United States has many banks that are small relative to large corporations and play a limited role in corporate governance, and a well developed stock market with an associated market for corporate control. In contrast, Japanese and German banks are fewer in number but larger in relative size and are said to play a central governance role. Neither country has an active market for corporate control. We extend the debate on the relative efficiency of bank- and stock market-centered capital markets by developing a further systematic difference between the two systems: the greater vitality of venture capital in stock market-centered systems. Understanding the link between the stock market and the venture capital market requires understanding the contractual arrangements between entrepreneurs and venture capital providers; especially the importance of the opportunity to enter into an implicit contract over control, which gives a successful entrepreneur the option to reacquire control from the venture capitalist by using an initial public offering as the means by which the venture capitalist exits from a portfolio investment. We also extend the literature on venture capital contracting by offering an explanation for two central characteristics of the U.S. venture capital market: relatively rapid exit by venture capital providers from investments in portfolio companies; and the common practice of exit through an initial public offering.</t>
  </si>
  <si>
    <t>Topic</t>
  </si>
  <si>
    <t>VC Definition</t>
  </si>
  <si>
    <t>https://drive.google.com/file/d/1x7TPGUYJZvusQiaEHf_MDwyAcoRywF5e/view?usp=sharing</t>
  </si>
  <si>
    <t>https://drive.google.com/file/d/1x0NasR-C_VSLF0kkhVwG-pC5KLVDqC4T/view?usp=sharing</t>
  </si>
  <si>
    <t>https://drive.google.com/file/d/1OjIRoo-cfLL96ISyWiXSs5CAsV6l7G0A/view?usp=sharing</t>
  </si>
  <si>
    <t>https://drive.google.com/file/d/133tpogdzEUkIgdg4dLBeTMGew9jj_aSG/view?usp=sharing</t>
  </si>
  <si>
    <t>https://drive.google.com/file/d/1pcKvf4HImgv0yp3B_-86WXHBzY6XRADT/view?usp=sharing</t>
  </si>
  <si>
    <t>https://drive.google.com/file/d/11Ewjm_jCWvI80VcYqi2rlPOrPTRacMwO/view?usp=sharing</t>
  </si>
  <si>
    <t>https://drive.google.com/file/d/1M4lRPg6cGzatBwHlxGE4WeJavcikDTzl/view?usp=sharing</t>
  </si>
  <si>
    <t>https://drive.google.com/file/d/1zBZFBqhRKmC645leGwSTZd-d-mULkzO9/view?usp=sharing</t>
  </si>
  <si>
    <t>https://drive.google.com/file/d/1hGQ08AnSgtjz-722qNIRnAxvBFtVgEdS/view?usp=sharing</t>
  </si>
  <si>
    <t>https://drive.google.com/file/d/12cCvttChNIlwbvU8CvWDEBk1hEs8ey9h/view?usp=sharing</t>
  </si>
  <si>
    <t>https://drive.google.com/file/d/17mJn82p85umQ6y3nn64Ghujjm5vuUojY/view?usp=sharing</t>
  </si>
  <si>
    <t>https://drive.google.com/file/d/1KrnBg3G3phFEhMcfe_Xnzj1KDgNoFkdf/view?usp=sharing</t>
  </si>
  <si>
    <t>https://drive.google.com/file/d/1r2V5OXMV0ymTkig7H2Lx_KMT9x2gUzwP/view?usp=sharing</t>
  </si>
  <si>
    <t>https://drive.google.com/file/d/1uzVN6JfixKkV0ijz4VKtcG0rJQYBtyV9/view?usp=sharing</t>
  </si>
  <si>
    <t>https://drive.google.com/file/d/1LKarmexvREvtjzXnLrZ2DF0osQ6pSHdv/view?usp=share_link</t>
  </si>
  <si>
    <t>https://drive.google.com/file/d/1Q6FxlgiC0PFdmxjgzK66J21zPziK-EL-/view?usp=share_link</t>
  </si>
  <si>
    <t>https://drive.google.com/file/d/1n0MSxPPLaJb5cof8MvpyWeXkqHEWLsrH/view?usp=share_link</t>
  </si>
  <si>
    <t>https://drive.google.com/file/d/1kmuEFzulN45nJsv-SelxpA266JzVAQmU/view?usp=share_link</t>
  </si>
  <si>
    <t>https://drive.google.com/file/d/1-yahtqQICadbjBXLzg_wxdvuNJ79_AfG/view?usp=share_link</t>
  </si>
  <si>
    <t>https://drive.google.com/file/d/1bA2zF3tVg2AuSwexskVBZK0c18FR3wcO/view?usp=share_link</t>
  </si>
  <si>
    <t>https://drive.google.com/file/d/1ZzgIDs5T46Hot_9zwZJx6qXJtq-GGjeq/view?usp=sharing</t>
  </si>
  <si>
    <t>https://drive.google.com/file/d/1XSPwPwtW2ozBMMj4N-HeC0MUCIjMNyL9/view?usp=share_link</t>
  </si>
  <si>
    <t>https://drive.google.com/file/d/1dyZnazFGfJJqEBdFvJ2f5mHp5nMqdjCj/view?usp=share_link</t>
  </si>
  <si>
    <t>https://drive.google.com/file/d/1eai53VQTeognW4EkzYGtbSsJxmWHgX6l/view?usp=share_link</t>
  </si>
  <si>
    <t>https://drive.google.com/file/d/1Jo8l5aZDB1CUuJ4Xn1kzugJ_kuPcBYRw/view?usp=share_link</t>
  </si>
  <si>
    <t>https://drive.google.com/file/d/1jQEz1YvfKn9b7pdkGV_n2LnA36dLN7f8/view?usp=share_link</t>
  </si>
  <si>
    <t>Entrepreneurial Ability, Venture Investments, and Risk Sharing</t>
  </si>
  <si>
    <t>Information Asymmetry / Agency Theory</t>
  </si>
  <si>
    <t>Raphael Amit, Lawrence Glosten and Eitan Muller</t>
  </si>
  <si>
    <t>A number of issues that relate to the desirability and implications of new venture financing are examined within a principal-agent framework that captures the essence of the relationship between entrepreneurs and venture capitalists. The model suggests: (1) As long as the skill levels of entrepreneurs are common knowledge, all will choose to involve venture capital investors, since the risk sharing provided by outside participation dominates the agency relationship that is created. (2) The less able entrepreneurs will choose to involve venture capitalists, whereas the more profitable ventures will be developed without external participation because of the adverse selection problem associated with asymmetric information. (3) If a costly signal is available that conveys the entrepreneur's ability, some entrepreneurs will invest in such a signal and then sell to investors; these entrepreneurs, however, need not be the more able ones. The implications for new venture financing of these and other findings are discussed and illustrated by example.</t>
  </si>
  <si>
    <t>https://drive.google.com/file/d/1ntWPbfc11lrQ4N8Bt6S3lkYfVB8hiIJp/view?usp=share_link</t>
  </si>
  <si>
    <t>A Model of Venture Capitalist Investment Activity</t>
  </si>
  <si>
    <t>Tyzoon T. Tyebjee and Albert V. Bruno</t>
  </si>
  <si>
    <t>The paper describes the activities of venture capitalists as an orderly process involving five sequential steps. These are (1) Deal Origination: The processes by which deals enter into consideration as investment prospects, (2) Deal Screening: A delineation of key policy variables which delimit investment prospects to a manageable few for in-depth evaluation, (3) Deal Evaluation: The assessment of perceived risk and expected return on the basis of a weighting of several characteristics of the prospective venture and the decision whether or not to invest as determined by the relative levels of perceived risk and expected return, (4) Deal Structuring: The negotiation of the price of the deal, namely the equity relinquished to the investor, and the covenants which limit the risk of the investor, (5) Post-Investment Activities: The assistance to the venture in the areas of recruiting key executives, strategic planning, locating expansion financing, and orchestrating a merger, acquisition or public offering. 41 venture capitalists provided data on a total of 90 deals which had received serious consideration in their firms. The questionnaire measured the mechanism of initial contact between venture capitalist and entrepreneur, the venture's industry, the stage of financing and product development, ratings of the venture on 23 characteristics, an assessment of the potential return and perceived risk, and the decision vis-à-vis whether to invest. The modal venture represented in the database was a start-up in the electronics industry with a production capability in place and seeking $1 million (median) in outside financing. There is a high degree of cross-referrals between venture capitalists, particularly for the purposes of locating co-investors. Factor analysis reduced the 23 characteristics of the deal to five underlying dimensions namely (1) Market Attractiveness (size, growth, and access to customers), (2) Product Differentiation (uniqueness, patents, technical edge, profit margin), (3) Managerial Capabilities (skills in marketing, management, finance and the references of the entrepreneur), (4) Environmental Threat Resistance (technology life cycle, barriers to competitive entry, insensitivity to business cycles and down-side risk protection), (5) Cash-Out Potential (future opportunities to realize capital gains by merger, acquisition or public offering). The results of regression analyses showed expected return to be determined by Market Attractiveness and Product Differentiation (R2 = 0.22). Perceived risk is determined by Managerial Capabilities and Environmental Threat Resistance (R2 = 0.33). Finally, a discriminant analysis correctly predicted, in 89.4% of the cases, whether or not a venture capitalist was willing to commit funds to the deal on the basis of the expected return and perceived risk. The reactions of seven venture capitalists who reviewed the model's specification were used to test its validit</t>
  </si>
  <si>
    <t>https://drive.google.com/file/d/1CzlHnkAmQ94GIf4-xeWnAsl1SIeAUOUy/view?usp=share_link</t>
  </si>
  <si>
    <t>On the Positive Role of Financial Intermediation in Allocation of Venture Capital in a Market with Imperfect Information</t>
  </si>
  <si>
    <t>Yuk-Shee Chan</t>
  </si>
  <si>
    <t>This paper develops a theory of financial intermediation that highlights the contribution of intermediaries as informed agents in a market with imperfect information. We consider a venture capital market where the entrepreneurs select the qualities of projects and their perquisite consumptions, about which the investors are imperfectly informed. It is shown that when all investors have positive search costs, the entrepreneurs are induced to offer the unacceptable inferior projects ("lemons" only), and the investors will not enter the venture capital market, but put their funds in other low return investments--an undesirable allocation of resources. Beginning with an initial undesirable situation, the financial intermediaries may evolve as informed agents that induce a Pareto-preferred allocation, leading the investors to a higher welfare state. We focus our analysis on the existence of intermediation equilibra when the market for intermediation services is competitive. The distribution of returns on projects, the fees charged by intermediaries, and the fraction of institutional holdings are all endogenous in equilibrium. It is shown that (i) there cannot be a competitive intermediation equilibrium with very high institutional holdings, and (ii) in other cases multiple equilibra may exist, but the one with the highest institutional holdings dominates the others in a Pareto sense.</t>
  </si>
  <si>
    <t>https://drive.google.com/file/d/1I-IGLAVVEpf1UPNGpbtWXrXdLZwBhoZy/view?usp=sharing</t>
  </si>
  <si>
    <t>Credit Rationing in Markets with Imperfect Information</t>
  </si>
  <si>
    <t>Joseph E. Stiglitz, Andrew Weiss</t>
  </si>
  <si>
    <t>https://drive.google.com/file/d/19M8GRggDqahIv69JeCgGfkrz15C3ESE_/view?usp=share_link</t>
  </si>
  <si>
    <t>The Market for "Lemons": Quality Uncertainty and the Market Mechanism</t>
  </si>
  <si>
    <t>George A. Akerlof</t>
  </si>
  <si>
    <t>The Quarterly Journal of Economics</t>
  </si>
  <si>
    <t>https://drive.google.com/file/d/1A-RtoLtxQ8ONMNbBeneHI7zKwHBCegyd/view?usp=share_link</t>
  </si>
  <si>
    <t>Corporate Financing and Investment Decisions when firms have information that investors dont have</t>
  </si>
  <si>
    <t>Myers, Mayluf</t>
  </si>
  <si>
    <t xml:space="preserve">Journal of Financial Economics </t>
  </si>
  <si>
    <t>https://drive.google.com/file/d/1stSa9uYN9yvNC98BStmlsOdzbphLyjyF/view?usp=share_link</t>
  </si>
  <si>
    <t>Theory of the firm: Managerial behavior, agency costs and ownership structure</t>
  </si>
  <si>
    <t>Jensen/Meckling</t>
  </si>
  <si>
    <t>This paper integrates elements from the theory of agency, the theory of property rights and the theory of finance to develop a theory of the ownership structure of the firm. We define the concept of agency costs, show its relationship to the ‘separation and control’ issue, investigate the nature of the agency costs generated by the existence of debt and outside equity, demonstrate who bears these costs and why, and investigate the Pareto optimality of their existence. We also provide a new definition of the firm, and show how our analysis of the factors influencing the creation and issuance of debt and equity claims is a special case of the supply side of the completeness of markets problem.
The directors of such [joint-stock] companies, however, being the managers rather of other people's money than of their own, it cannot well be expected, that they should watch over it with the same anxious vigilance with which the partners in a private copartnery frequently watch over their own. Like the stewards of a rich man, they are apt to consider attention to small matters as not for their master's honour, and very easily give themselves a dispensation from having it. Negligence and profusion, therefore, must always prevail, more or less, in the management of the affairs of such a company.</t>
  </si>
  <si>
    <t>https://drive.google.com/file/d/1G5zsARZKs0j6n9Jq9iQl85Y8tQkctLIL/view?usp=share_link</t>
  </si>
  <si>
    <t>Agency Problems and the Theory of the Firm</t>
  </si>
  <si>
    <t>Fama</t>
  </si>
  <si>
    <t>The Journal of Political Economy</t>
  </si>
  <si>
    <t>This paper attempts to explain how the separation of security ownership and control, typical of large corporations, can be an efficient form of economic organization. We first set aside the presumption that a corporation has owners in any meaningful sense. The entrepreneur is also laid to rest, at least for the purposes of the large modern corporation. The two functions usually attributed to the entrepreneur--management and risk bearing--are treated as naturally separate factors within the set of contracts called a firm. The firm is disciplined by competition from other firms, which forces the evolution of devides for efficiently monitoring the performance of the entire team and of its individual members. Individual participants in the firm, and in particular its managers, face both the discipline and opportunities provided by the markets for their services, both within and outside the firm.</t>
  </si>
  <si>
    <t>https://drive.google.com/file/d/11xKafqIsfuP1Sch7WTT_RNZ9ufTUWAOV/view?usp=share_link</t>
  </si>
  <si>
    <t>https://drive.google.com/file/d/1K3CubNtxVwSFKRx3XqUbQqGaigVd71f1/view?usp=share_link</t>
  </si>
  <si>
    <t>The role of imperfect information in a principal-agent relationship subject to moral hazard is considered. A necessary and sufficient condition for imperfect information to improve on contracts based on the payoff alone is derived, and a characterization of the optimal use of such information is given.</t>
  </si>
  <si>
    <t>Holmstrom</t>
  </si>
  <si>
    <t>Moral Hazard and Observability</t>
  </si>
  <si>
    <t>Financial Contracting Theory Meets
the Real World: An Empirical
Analysis of Venture Capital
Contracts</t>
  </si>
  <si>
    <t>https://drive.google.com/file/d/1hoke52b67v79Q_1nyFc0ykhOM1Ej8Snw/view?usp=share_link</t>
  </si>
  <si>
    <t>We compare the characteristics of real-world financial contracts to their counterparts in financial
contracting theory. We do so by studying the actual contracts between venture capitalists (VCs) and
entrepreneurs. The distinguishing characteristic of VC financings is that they allow VCs to separately
allocate cash flow rights, board rights, voting rights, liquidation rights, and other control rights. We
describe and measure these rights. We then interpret our results in relation to existing financial contracting
theories. We also describe the interrelation and the evolution across financing rounds of the different rights.</t>
  </si>
  <si>
    <t>The Bell Journal of Economcis</t>
  </si>
  <si>
    <t>Review of Economic Studies</t>
  </si>
  <si>
    <t>Firm Resources and Sustained Competitive Advantage</t>
  </si>
  <si>
    <t>Barney</t>
  </si>
  <si>
    <t>Resource Based View</t>
  </si>
  <si>
    <t>Journal of Management</t>
  </si>
  <si>
    <t>Understanding sources of sustained competitive advantage has become a major area of research in strategic management. Building on the assumptions that strategic resources are heterogeneously distributed acrossfirms and that these differences are stable over time, this article examines the link betweenfirm resources and sustained competitive advantage. Four empirical indicators of the potential of firm resources to generate sustained competitive advantage-value, rareness, imitability, and substitutability-are discussed. The model is applied by analyzing the potential of severalfirm resourcesfor generating sustained competitive advantages. The article concludes by examining implications of this firm resource model of sustained competitive advantage for other business disciplines.</t>
  </si>
  <si>
    <t>https://drive.google.com/file/d/1r-dKyhj4ErXhGBNC8BQx1oUKNFEobnqV/view?usp=sharing</t>
  </si>
  <si>
    <t>A Resource-Based View of the Firm</t>
  </si>
  <si>
    <t>Birger Wernerfelt</t>
  </si>
  <si>
    <t>The paper explores the usefulness of analysing firms from the resource side rather than from the product side. In analogy to entry barriers and growth-share matrices, the concepts of resource position barrier and resource-product matrices are suggested. These tools are then used to highlight the new strategic options which naturally emerge from the resource perspective.</t>
  </si>
  <si>
    <t>https://drive.google.com/file/d/1vmgXDtvNGHt-ShyDCCqSkVXHLRxb-LZW/view?usp=share_link</t>
  </si>
  <si>
    <t>The Cornerstones of Competitive Advantage: A Resource-Based View</t>
  </si>
  <si>
    <t>Margaret A. Peteraf</t>
  </si>
  <si>
    <t>This paper elucidates the underlying economics of the resource-based view of competitive advantage and integrates existing perspectives into a parsimonious model of resources and firm performance. The essence of this model is that four conditions underlie sustained competitive advantage, all of which must be met. These include superior resources (heterogeneity within an industry), ex post limits to competition, imperfect resource mobility, and ex ante limits to competition. In the concluding section, applications of the model for both single business strategy and corporate strategy are discussed.</t>
  </si>
  <si>
    <t>https://drive.google.com/file/d/1PQowaHJquefgCoqCqsV2gtqMcMwzIA6i/view?usp=share_link</t>
  </si>
  <si>
    <t>How Entrepreneurial Firms Can Benefit from Alliances with Large Partners</t>
  </si>
  <si>
    <t>Sharon A. Alvarez and Jay B. Barney</t>
  </si>
  <si>
    <t>The Academy of Management Executive</t>
  </si>
  <si>
    <t>https://drive.google.com/file/d/1WoACRLC9AcliBaYMwHX1yAJL1iPgWANI/view?usp=sharing</t>
  </si>
  <si>
    <t>This paper uses a case study methodology to develop a model of the venture capital investment decision-making process. It identifies generic criteria that venture capitalists use. A six-stage process model is proposed: origination, venture capital firm-specific screen, generic screen, first-phase evaluation, second-phase evaluation, and closing. Different activities occur in each stage. It is argued that the venture capitalist provides both supply-side and demand-side benefits to the market.</t>
  </si>
  <si>
    <t>https://drive.google.com/file/d/1OprQQVpgCVFySJ_yzVzSlOeaVJlhHEu5/view?usp=share_link</t>
  </si>
  <si>
    <t>The potential of actuarial decision models: Can they improve the venture capital investment decision?</t>
  </si>
  <si>
    <t>Andrew L. Zacharakis,
G. Dale Meyer</t>
  </si>
  <si>
    <t>Venture capitalists (VCs) are considered experts in identifying high-potential new ventures—gazelles. VC-backed ventures survive at a much higher rate than those ventures backed by other sources Kunkel and Hofer 1991, Sandberg 1986, Timmons 1994. Thus, the VC decision process has received tremendous attention within the entrepreneurship literature. Nonetheless, VC-backed firms still fail at a surprisingly high rate (20%). Moreover, another 20% of the VC's portfolio fails to provide any return to the VC. Therefore, there is room for improvement in the VC investment process.
The three staged investment process often begins with venture screening. First, VCs screen the hundreds of proposals they receive to assess which deserve further consideration. Those ventures that survive the initial stage are then subjected to extensive due diligence. Finally, the VC and entrepreneur negotiate terms of the investment. Considering the amount of time that due diligence and negotiation of terms may take, it is imperative that VCs minimize their efforts during screening so that only those ventures with the most potential proceed to the next stage. Yet, at the same time, the screening process should also be careful not to eliminate gazelles prematurely. VCs are in a quandary. How can they efficiently screen venture proposals without unduly rejecting high potential investments? The answer may be to use actuarial decision aides to assist in the screening process.
Actuarial decision aides are models that decompose a decision into component parts (or cues) and recombine those cues to predict the potential outcome. For example, an actuarial model about the VC decision might decompose a venture proposal into decisions about the entrepreneurial team, the product, the market, etc. The sub-component decisions are than recombined to reach an overall assessment of the venture's potential. Such models have been developed in a number of decision domains (e.g., bank lending, psychological evaluations, etc.) and been found to be very robust. Specifically, these models often outperform the very experts that they are meant to mimic.
The current study had 53 practicing VCs participate in a policy capturing experiment. The participants examined 50 ventures and judged each venture's success potential; would the venture ultimately succeed or fail. Likewise, identical information about each venture was input into two different types of actuarial models. One actuarial model—a bootstrap model—used information factors that VCs had identified as being most important to making a good investment decision. The second actuarial model was derived by Roure and Keeley (1990). The Roure and Keeley model best distinguished between success and failure in a study of 36 high-technology ventures. The bootstrap model outperformed all but one participating VC (he achieved the same accuracy rate as the bootstrap model). The Roure and Keely model, although less successful than the bootstrap model, outperformed over half of the participating VCs.
The implications of this study are that properly developed actuarial models may be successful screening decision aides. The success of the actuarial models may be attributed to their consistency across different proposals and time. The models always weight the information cues the same. VCs, as are all human decision makers, may often be biased by differing salient information cues that cause them to misinterpret or ignore other important cues. For example, a VC may overlook product weaknesses if (s)he is familiar with the entrepreneur putting forth a particular proposal. Although the current study developed a generalized actuarial model, each VC firm could create screening models that fit it's particular decision criteria. The models could then be used by junior associates or lower level employees to perform an initial screen of received venture proposals thereby freeing senior associates' time.</t>
  </si>
  <si>
    <t>https://drive.google.com/file/d/1FZrFpT5X_m9gqZV0S3kNzUKlLjCRNM8_/view?usp=share_link</t>
  </si>
  <si>
    <t>A questionnaire was administered to one hundred venture capitalists to determine the most important criteria that they use to decide on funding new ventures. Perhaps the most important finding from the study is direct confirmation of the frequently iterated position taken by the venture capital community that above all it is the quality of the entrepreneur that ultimately determines the funding decision. Five of the top ten most important criteria had to do with the entrepreneur's experience or personality. There is no question that irrespective of the horse (product), horse race (market), or odds (financial criteria), it is the jockey (entrepreneur) who fundamentally determines whether the venture capitalist will place a bet at all.
The question is if this is the case, then why is so much emphasis placed on the business plan? In a business plan there is generally little to indicate the characteristics of the entrepreneur—it is generally devoted to a detailed discussion of the product/service, the market, and the competition. To us, the implications are obvious—such content is necessary, but not sufficient. The business plan should also show as clearly as possible that the “jockey is fit to ride” —namely, indicate by whatever feasible and credible means possible that the entrepreneur has staying power, has a track record, can react to risk well, and has familiarity with the target market. Failing this, he or she needs to be able to pull together a team that has such characteristics and show that he or she is capable of leading that team.
Factor analysis of the results indicate that venture capitalists appear to assess ventures systematically in terms of six categories of risk to be managed. These are: risk of losing the entire investment: risk of being unable to bail out if necessary; risk of failure to implement the venture idea; competitive risk; risk of management failure; and risk of leadership failure.
Finally, three clusters of venture capitalists were identified: those who carefully assess the competitive and implementation risks: those who seek easy bail out; and those who deliberately keep as many options open as possible.</t>
  </si>
  <si>
    <t>Ian C. Macmillan, Robin Siegel, P.N.Subba Narasimha</t>
  </si>
  <si>
    <t>Criteria used by venture capitalists to evaluate new venture proposals</t>
  </si>
  <si>
    <t>https://drive.google.com/file/d/1okUKHhVjn_hxRofN-ld8duNv0gnVeeKi/view?usp=share_link</t>
  </si>
  <si>
    <t>Venture Capitalists' Assessment of New Venture Survival</t>
  </si>
  <si>
    <t>Dean A. Shepherd</t>
  </si>
  <si>
    <t>This study investigates whether VCs' assessment policies of new venture survival are consistent with those arising from the strategy literature (using two established strategy perspectives). Strategy scholars suggest the nature of the markets, competition, and decisions made by the management team affect a new venture's survival chances. The findings demonstrate that VCs' assessment policies are predominantly consistent with those proposed by strategy scholars—providing insight into why VCs consider certain criteria in their assessment of new venture survival as well as why some criteria are more important in their assessment than others. Through this increased understanding of venture capitalists' decision making, entrepreneurs seeking capital may be better able to address their requests for funding to those criteria venture capitalists find most critical to the survival of a new venture. Venture capitalists may use these findings to better understand their own decision making process, which, in turn, provides the opportunity to increase evaluation efficiency.</t>
  </si>
  <si>
    <t>https://drive.google.com/file/d/1DvD9Q62lHu5Wjq_WuTOmzSzl3GpyDiOj/view?usp=share_link</t>
  </si>
  <si>
    <t>Covenants in Venture Capital Contracts</t>
  </si>
  <si>
    <t>Bengtsson</t>
  </si>
  <si>
    <t>This paper studies how covenants are included in contracts between venture capitalists (VCs) and entrepreneurs. I show that VCs hold covenanted veto rights even though they are shareholders who have access to other powerful governance solutions. Unlike bank loans and bonds, venture capital (VC) contracts exhibit considerable variation in their contractual designs. I exploit this variation to confirm the argument that covenants are in place to overcome a conflict of interest that arises from debt-like contractual features of a venture capitalist's preferred stock. In particular, I find that contracts with higher fixed payoffs include 1.6 more covenants than do contracts with lower fixed payoffs. Similarly, VC contracts with no VC board majority requirement include 0.6 more covenants than do contracts that require a VC board majority. Covenants are also more common with older companies and when fewer VCs invest in a round. My findings contribute to both the debt covenant literature and the entrepreneurial finance literature.</t>
  </si>
  <si>
    <t>https://drive.google.com/file/d/1YOri8g5Z0NrNpi01dAzyhBgO_SJvO2R5/view?usp=share_link</t>
  </si>
  <si>
    <t>When do venture capitalists add value?</t>
  </si>
  <si>
    <t>Sapienza</t>
  </si>
  <si>
    <t>Venture capitalists functioning as lead investors and the entrepreneur-CEOs of their portfolio companies responded to questionnaire surveys that asked them to rate the venture capitalists' involvement in the ventures. The perceived effectiveness of the investor's involvement weighted by its perceived importance was used as a proxy for the investor's value to the venture. The survey was administered in the early part of 1988. Eighty percent of venture capitalists and 85% of entrepreneurs surveyed responded; in all, 51 matched pairs of lead investor-CEO surveys were completed and returned. Over 50 hours of interviews were also conducted to help clarify information derived through the surveys.
CEOs and venture capitalists rated the nature and intensity of their interaction as well as the performance of the venture over a one-year period. CEOs also provided data on strategy, level of innovation, environmental uncertainty, and their level of experience. Regression analyses indicated that a significant portion of variation in the value of venture capitalist involvement was explained by these factors. Specifically, the greater the innovation pursued by the venture, the more frequent the contact between the lead investor and the CEO, the more open the communication, and the less conflict of perspective in the venture capitalist-CEO pair, the greater was the value of the involvement. Neither the stage of the venture nor the CEO's experience had a significant impact on value added. The value of venture capitalists' involvement was also strongly positively correlated with venture performance.
The implications for the venture capitalists include the following: (1) the value of involvement varies with circumstances; (2) the most effective venture capitalists are those who maintain frequent, open communications while minimizing conflict; (3) opportunities exist for adding value in all venture stages; and (4) both experienced and inexperienced CEOs can benefit.
For entrepreneurs, three key findings are: (1) because venture capitalists can add value beyond the money supplied, choosing the right one at the outset is very important; (2) once in, it is important to keep communication channels open; and (3) high innovation ventures benefit most from venture capitalist involvement.
The results are important because they provide insight into controllable circumstances that impact the value of venture capitalist involvement in their portfolio companies. Given the general economic conditions now facing entrepreneurs and the degree of cut-throat competition in the venture capital industry, such information may prove extremely useful to both as they plan strategies for the 1990s.</t>
  </si>
  <si>
    <t>https://drive.google.com/file/d/1rg4SNguVf8SVrxlJCMj6JBYZA5jQfn0i/view?usp=sharing</t>
  </si>
  <si>
    <t>This paper examines the dynamics of exit options for US venture capital funds. Using a sample of more than 20,000 investment rounds, we analyze the time to ‘IPO’, ‘trade sale’ and ‘liquidation’ for 6000 VC-backed firms. We model these exit times using competing risks models, which allow for a joint analysis of exit type and exit timing. The hazard rate for IPOs are clearly non-monotonic with respect to time. As time flows, VC-backed firms first exhibit an increased likelihood of exiting to an IPO. However, after having reached a plateau, non-exited investments have fewer possibilities of IPO exits as time increases. This sharply contrasts with trade sale exits, where the hazard rate is less time-varying. We further provide evidence on the impact of economic factors such as syndicate size and composition, geographical location and VC value adding, on exit outcomes.</t>
  </si>
  <si>
    <t>https://drive.google.com/file/d/1f3TMc1ThaUNga-3-2dH_pxj2bVX48EQm/view?usp=share_link</t>
  </si>
  <si>
    <t>https://drive.google.com/file/d/10vh4KdOpBXEFQot8DFIKEGCl0Yg_r2Qq/view?usp=share_link</t>
  </si>
  <si>
    <t>Evaluation uncertainty of venture capitalists' investment criteria</t>
  </si>
  <si>
    <t>Tobias Kollmann,
Andreas Kuckertz</t>
  </si>
  <si>
    <t>This paper analyzes the decision process of venture capitalists. The study focuses on aligning the evaluation uncertainty in the decision criteria of venture capitalists with the progress of the process. The reasoning builds from the concept of search, experience and credence qualities, which was developed in the economics of information and allows the identification of the varying uncertainty of a single decision criterion compared to other criteria, along with uncertainty variations throughout the process. Exploratory empirical evidence suggests that in the early steps of the process in particular, management criteria are uncertain, while at the end of the process other criteria couple with uncertainty.</t>
  </si>
  <si>
    <t>“In pursuit of the real deal”
A longitudinal study of VC decision making</t>
  </si>
  <si>
    <t>Jeffrey S. Petty, Marc Gruber</t>
  </si>
  <si>
    <t>This paper investigates actual Venture Capital (VC) decision making as it occurs over time in its
natural decision environment. Our qualitative analysis is based on a comprehensive,
longitudinal data set comprising 11 years of archival data from a European-based VC firm.
During this time, the VC managed two funds, reviewed a total of 3631 deals, and made 35
investments. By adopting this research methodology, we can overcome several limitations of
post-hoc methods and experiments commonly used in this research stream, and also have the
opportunity to tackle some fundamental, yet hitherto elusive research topics. For example, our
findings reveal how the importance of decision-making criteria varies between different stages
of the evaluation process. They also show how VC portfolio composition and VC management
time serve as important, yet to-date largely neglected decision-making criteria. Implications for
research and practice are outlined.</t>
  </si>
  <si>
    <t>Venture Capital</t>
  </si>
  <si>
    <t>Venture Capital Theory</t>
  </si>
  <si>
    <t>https://drive.google.com/file/d/1vfMdpwV37WY0R822toN5BxcWeLW3pq5S/view?usp=sharing</t>
  </si>
  <si>
    <t>Attributes of Angel and Crowdfunded Investments as Determinants of VC Screening Decisions</t>
  </si>
  <si>
    <t>Will Drover, Matthew S. Wood, and Andrew Zacharakis</t>
  </si>
  <si>
    <t>This research explores whether relationships between young firms and certain early–stage seed funders portray certification effects that influence venture capitalist (VC) screening decisions. Specifically, we analyze how varying attributes of angel and crowdfunded investments certify venture quality in the minds of VCs as they make due diligence screening decisions. Results from two experiments utilizing 104 VCs making 1,036 screening decisions demonstrate that the heterogeneous nature of the attributes of angels and the crowd can produce highly influential certification effects.</t>
  </si>
  <si>
    <t>https://drive.google.com/file/d/1p17quOxb-CAbSx9awfyUORDrd0xfufBo/view?usp=sharing</t>
  </si>
  <si>
    <t>Optimal Investment, Monitoring, and the Staging of Venture Capital</t>
  </si>
  <si>
    <t>Paul A. Gompers</t>
  </si>
  <si>
    <t>Factors that determine the reputation of private equity managers in developing markets</t>
  </si>
  <si>
    <t>This paper examines the structure of staged venture capital investments when agency and monitoring costs exist. Expected agency costs increase as assets become less tangible, growth options increase, and asset specificity rises. Data from a random sample of 794 venture capital-backed firms support the predictions. Venture capitalists concentrate investments in early stage and high technology companies where informational asymmetries are highest. Decreases in industry ratios of tangible assets to total assets, higher market-to-book ratios, and greater R&amp;D intensities lead to more frequent monitoring. Venture capitalists periodically gather information and maintain the option to discontinue funding projects with little probability of going public.</t>
  </si>
  <si>
    <t>https://drive.google.com/file/d/1cfH9AglEcsGhSKy5Nliq8RuWY5fXX4T_/view?usp=sharing</t>
  </si>
  <si>
    <t>https://drive.google.com/file/d/14KhDfw_OQtMMVBbUMlMqkCZDBVOeLKnz/view?usp=share_link</t>
  </si>
  <si>
    <t>This paper analyzes the relationship between investors and private equity managers in order to
identify the factors that affect the latter's reputation. Since there are no individual references about
their past returns in developing private equity markets, the reputation of such players is thought to be linked to their capacity for obtaining new funds. Results provide evidence of the volume of in-
vestments recorded in the past, the ratio of portfolio companies to investment manager, the per-
centage of divestments carried out through initial public offerings and trade sales, the membership of the national private equity association and the size of funds under management as characteristics of the highest importance in raising funds.</t>
  </si>
  <si>
    <t>Marina Balboaa, José Martí</t>
  </si>
  <si>
    <t>This paper introduces an analysis of the impact of Legality on the exiting of venture capital investments. We consider a sample of 468 venture-backed companies from 12 Asia-Pacific countries, and these countries' venture capitalists' investments in US-based entrepreneurial firms. The data indicate IPOs are more likely in countries with a higher Legality index. This core result is robust to controls for country-specific stock market capitalization, MSCI market conditions, venture capitalist fund manager skill and fund characteristics, and entrepreneurial firm and transaction characteristics. Although Black and Gilson (1998) speculate on a central connection between active stock markets and active venture capital markets, our data in fact indicate the quality of a country's legal system is much more directly connected to facilitating VC-backed IPO exits than the size of a country's stock market. The data indicate Legality is a central mechanism which mitigates agency problems between outside shareholders and entrepreneurs, thereby fostering the mutual development of IPO markets and venture capital markets.</t>
  </si>
  <si>
    <t>Legality and Venture Capital Exits</t>
  </si>
  <si>
    <t>https://drive.google.com/file/d/1VD3eSVIGgE53SpDXkaqAVnu-qpmLGlOx/view?usp=sharing</t>
  </si>
  <si>
    <t>What do venture capitalists do?</t>
  </si>
  <si>
    <t>Michael Gorman, William A. Sahlman</t>
  </si>
  <si>
    <t>This paper presents the results derived from 49 responses to a questionnaire mailed to 100 venture capitalists in late 1984. The purpose of the survey was to shed light on the relationship between venture capitalists and their portfolio companies. The survey revealed that the venture capitalists who responded spend about half their time monitoring nine portfolio investments; of these, five are companies on whose boards they sit. For the latter group, a venture capitalist typically devotes 80 hours of on-site time and 30 hours of phone time per year in direct contact with each company. The most frequently performed service for portfolio companies is to help raise additional funds, with strategic analysis and management recruiting also mentioned as important roles. Finally, the venture capitalists in the survey had replaced an average of three CEOs during their careers; weak senior management was considered to be the dominant cause of venture failure.</t>
  </si>
  <si>
    <t>https://drive.google.com/file/d/1wg0zVr-tvmK498gAt5jZqbkdle791-vD/view?usp=sharing</t>
  </si>
  <si>
    <t>Venture capitalists' involvement in their investments: Extent and performance</t>
  </si>
  <si>
    <t>Ian C. Macmillan, David M. Kulow and Roubina Khoylian</t>
  </si>
  <si>
    <t>Venture capitalists responded to a questionnaire that asked them to identify their degree of involvement in a number of activities for a funded venture as well as other characteristics of the venture, including its performance. The three-page questionnaire was distributed to a sample of 350 venture capitalists during December 1986 and February 1987. In all, 62 questionnaires (18%) were completed and returned.
The results indicated that venture capitalists were involved most—compared to the entrepreneur—in the financial aspects of the venture. The activity that had the highest degree of involvement was serving as a sounding board to the entrepreneur. The lowest degree of involvement occurred in those activities concerning the ongoing operations. Factor analysis on involvement patterns in the venture activities identified four distinct areas of involvement: development and operations, management selection, personnel management, and financial participation.
The venture capitalists indicated that if they could change their degree of involvement, overall they would have done so only slightly. It was evident, however, that they would have increased their involvement in those activities requiring a minimal time commitment, such as formulating business strategy or marketing plans, or serving as a sounding board to the entrepreneur. It was evident that they would have decreased their involvement in activities that required substantial time commitment, such as developing production or service techniques, selecting vendors and equipment, or soliciting customers or distributors.
Perhaps the most important result was the identification of three distinct levels of involvement adopted by venture capitalists: 1) Laissez Faire involvement, in which the venture capitalists exhibited limited involvement; 2) Moderate involvement, in which venture capitalists exhibited moderate involvement; and 3) Close Tracker involvement, in which venture capitalists exhibited more involvement than the entrepreneur in a majority of the identified activities. Because tests regarding the venture firms, the products or services in relation to the market, and management team characteristics did not significantly explain why the three distinct types of venture capitalist involvement emerged, it appears that venture capitalists exhibited different involvement levels solely because they elected to do so. Tests also indicated that the difference in the performance level of the ventures among the three groups was statistically insignificant.
Regression analyses indicated that for each of the three types of involvement, involvement in various activities had different correlations with performance. Among Laissez Faire involvement ventures, developing the professional support group had a positive correlation with venture performance. Among Moderate involvement ventures, monitoring operations had a positive correlation with venture performance while involvement at the strategic level and in searching for management candidates exhibited negative correlations. Finally, among Close Tracker involvement ventures, negotiating employment terms with management had a positive correlation with performance, while searching for management candidates exhibited a negative correlation. It is interesting that searching for management candidates in both the Moderate and Close Tracker ventures had a negative correlation with venture performance.
These results are important because they show that depending on the involvement types selected by venture capitalists, different involvement strategies in the various activities should be more suitable. If venture capitalists recognize this they can adopt more appropriate strategies, which may lead to more successful ventures.</t>
  </si>
  <si>
    <t>https://drive.google.com/file/d/1siNqOpBto80CdBhzCLtOw3szV2iBRBud/view?usp=share_link</t>
  </si>
  <si>
    <t>Characteristics, Contracts, and Actions:
Evidence from Venture Capitalist Analyses</t>
  </si>
  <si>
    <t>STEVEN N. KAPLAN, PER STROMBERG</t>
  </si>
  <si>
    <t>We study the investment analyses of 67 portfolio investments by 11 venture capital
(VC) firms. VCs describe the strengths and risks of the investments as well as expected
postinvestment actions. We classify the risks into three categories and relate them to
the allocation of cash f low rights, contingencies, control rights, and liquidation rights
between VCs and entrepreneurs. The risk results suggest that agency and hold-up
problems are important to contract design and monitoring, but that risk sharing is
not. Greater VC control is associated with increased management intervention, while
greater VC equity incentives are associated with increased value-added support.</t>
  </si>
  <si>
    <t>Proximity and Innovation: A Critical Assessment</t>
  </si>
  <si>
    <t>Ron Boschma</t>
  </si>
  <si>
    <t>Proximity and innovation: a critical assessment, Regional Studies 39, 61–74. A key issue in economic
geography is to determine the impact of geographical proximity on interactive learning and innovation. We argue that the
importance of geographical proximity cannot be assessed in isolation, but should always be examined in relation to other
dimensions of proximity that may provide alternative solutions to the problem of coordination. We claim that geographical
proximity per se is neither a necessary nor a suﬃcient condition for learning to take place. Nevertheless, it facilitates interactive
learning, most likely by strengthening the other dimensions of proximity. However, proximity may also have negative impacts
on innovation due to the problem of lock-in. Accordingly, not only too little, but also too much proximity may be detrimental
to interactive learning and innovation. This may be the case for all five dimensions of proximity discussed in the paper, i.e.
cognitive, organizational, social, institutional and geographical proximity. Finally, the paper presents a number of mechanisms
that oﬀer, by their own, or in combination, solutions to the problems of coordination and lock-in. That is, they enhance
eﬀective coordination and control (solving the problem of too little proximity), while they prevent actors to become locked-in
through ensuring openness and flexibility (solving the problem of too much proximity).</t>
  </si>
  <si>
    <t>https://drive.google.com/file/d/1S7q5-KpbZZ4XZOG1NWjqsl00bZOZOTFj/view?usp=sharing</t>
  </si>
  <si>
    <t>Optimal cognitive distance and absorptive capacity</t>
  </si>
  <si>
    <t>Noteboom et al.</t>
  </si>
  <si>
    <t>In this paper we test the relation between cognitive distance and innovation performance of firms engaged in technology-based alliances. The key finding is that the hypothesis of an inverted U-shaped effect of cognitive distance on innovation performance of firms is confirmed. Moreover, as expected, we found that the positive effect for firms is much higher when engaging in more radical, exploratory alliances than in more exploitative alliances. The effect of cumulative R&amp;D turns out to be mixed. It appears to increase absorptive capacity, as expected, but there is clear evidence that it also reduces the effect of cognitive distance on novelty value, making it increasingly difficult to find additional novelty.</t>
  </si>
  <si>
    <t>https://drive.google.com/file/d/1u8suOEliGnDm-nvtmzq34JvGb4NLNJP-/view?usp=sharing</t>
  </si>
  <si>
    <t>Proximity and Localization</t>
  </si>
  <si>
    <t>ANDRE TORRE,  ALAIN RALLET</t>
  </si>
  <si>
    <t>The objective of this paper is to pave the way for an analysis of the relations between proximity and localization of activities and people, two notions that are often mistaken for one another. Our method consists in exploiting the semantic wealth of the notion of proximity. We distinguish two types of proximity (geographical and organized) and propose a grid of analysis of the main models of geographic organization of activities by articulating both types of proximity. We then introduce the phenomenon of tension between geographical and organized proximity in order to discuss problems that are often underestimated in spatial economy. First, organized proximity offers powerful mechanisms of long-distance coordination that constitute the foundation of the increasing geographical development of socio-economic interactions. The confusion between information interactions and knowledge exchange, and the constraint of being located in proximity neglects the fact that the collective rules and representations do manage, and at a distance, an increasing part of these interactions. It is then shown that there is a disjunction between the need for geographical proximity and co-localization of actors by introducing professional mobility and temporary geographical proximity. We also emphasize the ability of big organizations to manage the presence in different areas of their units, whereas smaller ones are more constrained by fixed co-localizations, which are only needed for certain phases of their interactions. Finally, we raise the often neglected question of the negative effects of geographical proximity, which creates tensions between the actors who use limited support-goods and tends to damage the local relational network. However, these negative effects can be limited by integrating them within organizations or institutions, that is through a re-composed organized proximity enabling one to solve conflicts and launch processes of cooperation or negotiation within ad- hoc mechanisms.</t>
  </si>
  <si>
    <t>https://drive.google.com/file/d/1VPVayrf7c7lv-megCC1hH7s0kG7_Lqk4/view?usp=sharing</t>
  </si>
  <si>
    <t>Management and Organization Review</t>
  </si>
  <si>
    <t>Batjargal</t>
  </si>
  <si>
    <t xml:space="preserve"> I compare networks of entrepreneurs and venture capitalists in China and Russia by examining professional social networks of software entrepreneurs and private equity investors from the perspectives of institutional theory and culture paradigm. In the empirical study, I draw on survey data from Beijing and Moscow based on interviews of 159 software entrepreneurs and 124 venture capital decisions. I found that professional networks of the Chinese software entrepreneurs are smaller, denser and more homogeneous in educational specializations, compared with the networks of Russian entrepreneurs. Furthermore, I found that both ties and interpersonal trust in the referral tie are stronger in China than in Russia.</t>
  </si>
  <si>
    <t>Comparative Social Capital: Networks of Entrepreneurs and Venture Capitalists in China and Russia</t>
  </si>
  <si>
    <t>https://drive.google.com/file/d/1MT_0jhBKylqm_gsA1WT7C4Gpj3BYeFsZ/view?usp=sharing</t>
  </si>
  <si>
    <t>Startups in times of crisis– A rapid response to the
COVID-19 pandemic</t>
  </si>
  <si>
    <t>https://drive.google.com/file/d/1rTOGKRRmdF6tanqTHXVEgfbQupmWOovf/view?usp=share_link</t>
  </si>
  <si>
    <t>Kuckertz et al.</t>
  </si>
  <si>
    <t>Covid, Startups</t>
  </si>
  <si>
    <t>The discovery of the coronavirus (SARS-CoV-2) and the spread of COVID-19
have led many governments to take drastic measures. The lockdown of large parts of society
and economic life has come as an exogenous shock to many economic actors, not least innovative
startups. This rapid response research combines a qualitative research design informed by
entrepreneurial ecosystem actors with an analysis of policy measures called for, announced, and
reportedly implemented in the international press. Interviews from an entrepreneurial ecosystem
offer a rst-hand account of the adversity startups face during a crisis and how by utilizing
bricolage responses they cope, and the analysis of policy measures can serve as an inspiration to
design support initiatives to protect startups from the consequences of the current lockdown and to
alleviate the effects of future crises.
Managerial summary: The lockdown measures as a response to the spread of the new coronavirus
threaten the existence of many innovative startups. Our rapid response research rst illustrates the
challenges entrepreneurs face as a consequence of the crisis. Second, we illustrate how entre-
preneurs are dealing with the effects of the crisis and what they are doing to protect their ventures.
Finally, we present measures that could be utilized by policymakers to assist entrepreneurs facing
challenges. The research conducted suggests that while startups are successfully leveraging their
available resources as a rst response to the crisis, their growth and innovation potential are at
risk. Therefore, policy measures should not only provide rst aid to startups by alleviating the
pressure caused by constrained cash ow, but also involve long-term measures embedded in and
supported by the wider entrepreneurial ecosystem to ensure rapid recovery and growth.</t>
  </si>
  <si>
    <t>Proximity and Innovation: From Statics to Dynamics</t>
  </si>
  <si>
    <t>Balland et al.</t>
  </si>
  <si>
    <t>Despite theoretical and empirical advances, the proximity framework has remained essentially static. A dynamic extension of the proximity framework is proposed that accounts for co-evolutionary dynamics between knowledge networking and proximity. For each proximity dimension, how proximities might increase over time as a result of past knowledge ties is described. These dynamics are captured through the processes of learning (cognitive proximity), integration (organizational proximity), decoupling (social proximity), institutionalization (institutional proximity), and agglomeration (geographical proximity). The paper ends with a discussion of several avenues for future research on the dynamics of knowledge networking and proximity.</t>
  </si>
  <si>
    <t>https://drive.google.com/file/d/15xPB1mJZSUKO3rSYPBFh4Iq0P5AgYwmS/view?usp=sharing</t>
  </si>
  <si>
    <t>The New Ways to Raise Capital: An Exploratory Study of Crowdfunding</t>
  </si>
  <si>
    <t>Rossi</t>
  </si>
  <si>
    <t xml:space="preserve">International Journal of Financial Research </t>
  </si>
  <si>
    <t>Paper aims is to describe, analyze and to increase the knowledge of the emerging crowdfunding phenomenon. This can be defined as the practice of funding a project or venture by raising a lot of small quantities of money from a huge number of people. Even though the number of academic studies has been increasing, the coverage of the population is relatively weak and not well understood by entrepreneurs and individual investors.Design/Methodology/Findings - The research can be classified as an exploratory research. It focuses on how the crowdfunding works. The research addresses the following research questions: What is crodwfunding? Which are the main characteristics of this phenomenon? Wihic are the principal strengths and the main weaknesses of crowdfunding? The findings expose purposes, characteristics, roles and tasks, and investment size of crowd-funding activity.Practical implications - The findings have implications for service managers interested in managing crowd-funding initiatives and to improve the activity of the consumers.Originality/value - The paper analyses a new emergent phenomenon. It aims to define the user/costuemr’s role from co-creation to investment.</t>
  </si>
  <si>
    <t>https://drive.google.com/file/d/1M_L6okxFfmOIhYEMko3YAq8MswG1W_dD/view?usp=sharing</t>
  </si>
  <si>
    <t>https://drive.google.com/file/d/1GAZiPTAPuDZlulWLGbGLU-4tZwE5iD6r/view?usp=share_link</t>
  </si>
  <si>
    <t>https://drive.google.com/file/d/1ZS4HT3LmOwRMCdwfH3kvpMKcB1qL8JD6/view?usp=sharing</t>
  </si>
  <si>
    <t>A process model of entrepreneurial venture creation</t>
  </si>
  <si>
    <t>Mahesh P. Bhave</t>
  </si>
  <si>
    <t>Venture Creation Process</t>
  </si>
  <si>
    <t>The process model of entrepreneurial venture creation developed in this paper is based on interviews with entrepreneurs who started twenty-seven business in a range of industries in upstate New York. The venture creation process described here is an iterative, nonlinear, feedback-driven, conceptual, and physical process.
The model includes internally and externally stimulated opportunity recognition, commitment to physical creation, set-up of production technology, organization creation, product creation, linking with markets, and customer feedback. For analytical convenience, the process has been divided into the opportunity stage, the technology set-up and organization-creation stage, and the exchange stage. Business concept, production technology, and product are respectively the core variables representing the three stages.
Entrepreneurs introduce differing amounts of novelty at each core variable during venture creation, and the varying amounts of novelty qualitatively distinguish one kind of entrepreneurship from another.
For the researcher, the model suggests a better method for specifying samples of entrepreneurial firms. It shows how studies on the context of venture creation can be more specific, and proposes that novelty at the core variables be operationalized as a step toward defining the entrepreneurial content of ventures.
For the prospective entrepreneur, the model will serve as a useful road map. It will alert the entrepreneur to the strategic issues at each stage in the venture creation process, particularly when introducing significant novelty at any of the core variables.</t>
  </si>
  <si>
    <t>The Design of Startup Accelerators</t>
  </si>
  <si>
    <t>Cohen et al.</t>
  </si>
  <si>
    <t>Accelerator programs are an increasingly important part of entrepreneurial ecosystems. While accelerators have core defining features—fixed-term, cohort-based educational and mentorship programs for startups— there is also significant variation amongst them. In this paper, we relate key variation in the antecedents, organizational design and operation of these programs to theories of firm-level entrepreneurial performance. We then document descriptive correlations between these design elements and the performance of the startups that attend these programs. In doing so, we probe the connections between design and performance in ways that integrate previously disparate research on accelerators and expand our understanding of startup intermediaries. Our findings delineate the building blocks as well as an agenda for future researchers to build upon not only our understanding of accelerators, but also our understanding of what new ventures need to survive and flourish.</t>
  </si>
  <si>
    <t>Accelerators</t>
  </si>
  <si>
    <t>https://drive.google.com/file/d/1l90Y6qJX2K5nsRrZl0Hsh-mkpO4cXB40/view?usp=sharing</t>
  </si>
  <si>
    <t>ANALYSIS OF FINANCING SOURCES FOR START-UP COMPANIES</t>
  </si>
  <si>
    <t>Overview Financing Instruments</t>
  </si>
  <si>
    <t>Čalopa et al.</t>
  </si>
  <si>
    <t>Journal of Contemporary Management Issues</t>
  </si>
  <si>
    <t xml:space="preserve">This paper presents the development of start-up companies, their types and potential sources of financing with special emphasis on financing ventures in Croatia. The expected scientific contribution supports the defining stages of development for start-ups, as well as their financing sources at each stage. The goal of the research was to investigate whether Croatia has made a shift from traditional to newer methods of financing. Scientific and research contributions of the paper are reflected in the fact that there is a relatively small number of papers, especially in the domestic literature, that address these issues. Therefore, this research can contribute to a better understanding of the financing strategy of entrepreneurial ventures. Presented and interpreted results could be a useful basis and encouragement for a further research in this and similar topics related to the start-up scene at the local as well as the global level.
</t>
  </si>
  <si>
    <t>https://drive.google.com/file/d/1Kke6fd3-if9yMqDuxTcPgxeWNphYQ-Fu/view?usp=share_link</t>
  </si>
  <si>
    <t>https://drive.google.com/file/d/1wKKbfsMmQjimWplwBu8Cl2XtncmhmA3-/view?usp=share_link</t>
  </si>
  <si>
    <t>Venture-Capital Financing and the
Growth of Startup Firms</t>
  </si>
  <si>
    <t>Davila</t>
  </si>
  <si>
    <t>https://drive.google.com/file/d/1b9bEe_1bNJHCweOr0UlOmwyqv_y9TuGj/view?usp=share_link</t>
  </si>
  <si>
    <t>This study examines the association between the presence of venture capital (VC) and the employee growth of startups. Grounded in signaling theory, it investigates the impact, if any, of VC financing events upon the growth of these companies and whether the amount of funding affects the intensity of the signal. It further explores whether VC leads to growth or, alternatively, whether growth signals the need for VC. Finally, it documents the relationship between growth in startup financial valuation and changes in the number of employees over successive rounds of financing.</t>
  </si>
  <si>
    <t>Blockchain-Based ICOs: Pure Hype or the Dawn of a New Era of Startup Financing?</t>
  </si>
  <si>
    <t>Ante et al.</t>
  </si>
  <si>
    <t>Blockchain Financing, ICO</t>
  </si>
  <si>
    <t>J. Risk Financial Manag.</t>
  </si>
  <si>
    <t>This study explores the determinants of initial coin offering (ICO) success, where success is
defined as the amount of capital a project could raise. ICOs are a tool for startups in the blockchain
ecosystem to raise early capital with relative ease. The market for ICOs has grown at a rapid pace since
its start in 2013. We analyze a unique dataset of 278 projects that finished their ICOs by August 2017
to assess determinants of funding success that we derive from the crowdfunding and venture capital
literature. Our results show that ICOs exhibit similarities to classical crowdfunding and venture
capital markets. Specifically, we identify resemblances in determinants of funding success regarding
human capital characteristics, business model quality, project elaboration, and social media activity.</t>
  </si>
  <si>
    <t>https://drive.google.com/file/d/1jCu6LxBZP8EIC45iYf8J5YD3IdZAEUdX/view?usp=share_link</t>
  </si>
  <si>
    <t>https://drive.google.com/file/d/1fDivHZOTX4mDhTmJr9NKTSfrpY3Fdhe6/view?usp=sharing</t>
  </si>
  <si>
    <t>Jeong et al.</t>
  </si>
  <si>
    <t>The Role of Venture Capital Investment in Startups’ Sustainable Growth and  Performance: Focusing on Absorptive Capacity and Venture Capitalists’ Reputation</t>
  </si>
  <si>
    <t>Sustainability</t>
  </si>
  <si>
    <t>This study provides evidence on how venture capital (VC) investment affects startup firms’
sustainable growth and performance. Despite the rich and abundant research on the relationship
between VC investment and startup performance, there is no clear evidence about the contribution
of VC investment on the performance and market value of invested firms. In order to accurately
measure the impact of VC investment, this study explored how VC investment at each stage of
growth affects a startup’s sustainable growth and performance. Based on signaling theory and
information asymmetry, this study proposed a positive link between initial-stage VC investment and
a startup’s growth and performance. Using a sample of 363 firms listed from 2000 to 2007, this study demonstrated that startups are sustained and perform better as they receive their VC investment at the initial stage. The level of potential absorptive capacity positively moderated this association, unlike realized absorptive capacity, which did not show significant moderating effects.</t>
  </si>
  <si>
    <t>Entrepreneurial ecosystem elements</t>
  </si>
  <si>
    <t>Stam, van de ven</t>
  </si>
  <si>
    <t xml:space="preserve">There is a growing interest in ecosystems as an approach for understanding the context of entrepreneurship at the macro level of an organizational community. It consists of all the interdependent actors and factors that enable and constrain entrepreneurship within a particular territory. Although growing in popularity, the entrepreneurial ecosystem concept remains loosely defined and measured. This paper shows the value of taking a systems view of the context of entrepreneurship: understanding entrepreneurial economies from a systems perspective. We use a systems framework for studying entrepreneurial ecosystems, develop a measurement instrument of its elements, and use this to compose an entrepreneurial ecosystem index to examine the quality of entrepreneurial ecosystems in the Netherlands. We find that the prevalence of high-growth firms in a region is strongly related to the quality of its entrepreneurial ecosystem. Strong interrelationships among the ecosystem elements reveal their interdependence and need for a systems perspective.
</t>
  </si>
  <si>
    <t>https://drive.google.com/file/d/1_xnz9yMbKKATh04CzNM7sN6llls8zxmM/view?usp=sharing</t>
  </si>
  <si>
    <t>Startup Financing</t>
  </si>
  <si>
    <t>https://drive.google.com/file/d/1bruvI89emqcWDNX2lA21E0kmoeQObPae/view?usp=sharing</t>
  </si>
  <si>
    <t>Toward an Entrepreneurial Ecosystem Research Program</t>
  </si>
  <si>
    <t>Wurth, Stam, Spigel</t>
  </si>
  <si>
    <t>Entrepreneurial ecosystems have become a prominent concept, yet in its current state, the concept itself represents a paradox. While it draws on a rich intellectual history and provides an opportunity to synthesize different strands of research, it is also under-theorized and the mechanisms that govern ecosystem evolution are not well understood. This paper takes stock of recent advancements in ecosystem scholarship and synthesizes the empirical reality of the causal mechanisms. We use these dynamics to position ecosystems in a broader context, within and beyond the domain of entrepreneurship research, and propose a transdisciplinary research program for ecosystem research and practice.</t>
  </si>
  <si>
    <t>Toward a process theory of entrepreneurial ecosystems</t>
  </si>
  <si>
    <t>Entrepreneurial ecosystems have recently emerged as a popular concept within entrepreneurship policy and practitioner communities. Specifically, they are seen as a regional economic development strategy that is based around creating supportive environments that foster innovative start-ups. However, existing research on entrepreneurial ecosystems has been largely typological and atheoretical and has not yet explored how they influence the entrepreneurship process. This article critically examines the relationships between ecosystems and other existing literatures such as clusters and regional innovation systems. Drawing on this background, the article suggests that a process-based view of ecosystems provides a better framework to understand their role in supporting new venture creation. This framework is used to explain the evolution and transformation of entrepreneurial ecosystems and to create a typology of different ecosystem structures.</t>
  </si>
  <si>
    <t>Spigel, Harrison</t>
  </si>
  <si>
    <t>https://drive.google.com/file/d/1RFLVSRYy1_fa2rdLIVhcWBN_0N79l2NO/view?usp=sharing</t>
  </si>
  <si>
    <t>strategic entrepreneurship journal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</si>
</sst>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u/>
      <sz val="12"/>
      <color theme="10"/>
      <name val="Aptos Narrow"/>
      <family val="2"/>
      <scheme val="minor"/>
    </font>
    <font>
      <sz val="14"/>
      <color theme="1"/>
      <name val="Aptos Narrow"/>
      <family val="2"/>
      <scheme val="minor"/>
    </font>
    <font>
      <sz val="12"/>
      <color theme="1"/>
      <name val="Aptos Narrow"/>
      <family val="2"/>
      <scheme val="minor"/>
    </font>
    <font>
      <b/>
      <sz val="14"/>
      <color theme="1"/>
      <name val="Aptos Narrow"/>
      <scheme val="minor"/>
    </font>
    <font>
      <b/>
      <sz val="20"/>
      <color theme="1"/>
      <name val="Aptos Narrow"/>
      <scheme val="minor"/>
    </font>
    <font>
      <sz val="12"/>
      <color theme="1"/>
      <name val="Aptos Display"/>
    </font>
    <font>
      <sz val="12"/>
      <color rgb="FF000000"/>
      <name val="Aptos Display"/>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1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1" fillId="0" borderId="0" applyNumberFormat="0" applyFill="0" applyBorder="0" applyAlignment="0" applyProtection="0"/>
    <xf numFmtId="9" fontId="3" fillId="0" borderId="0" applyFont="0" applyFill="0" applyBorder="0" applyAlignment="0" applyProtection="0"/>
  </cellStyleXfs>
  <cellXfs count="39">
    <xf numFmtId="0" fontId="0" fillId="0" borderId="0" xfId="0"/>
    <xf numFmtId="0" fontId="0" fillId="0" borderId="0" xfId="0" applyAlignment="1">
      <alignment vertical="top"/>
    </xf>
    <xf numFmtId="0" fontId="0" fillId="0" borderId="0" xfId="0" applyAlignment="1">
      <alignment vertical="top" wrapText="1"/>
    </xf>
    <xf numFmtId="0" fontId="2" fillId="0" borderId="0" xfId="0" applyFont="1" applyAlignment="1">
      <alignment horizontal="center" vertical="center"/>
    </xf>
    <xf numFmtId="0" fontId="1" fillId="0" borderId="0" xfId="1" applyAlignment="1">
      <alignment vertical="top" wrapText="1"/>
    </xf>
    <xf numFmtId="0" fontId="0" fillId="0" borderId="0" xfId="0" applyAlignment="1">
      <alignment horizontal="left" vertical="top" wrapText="1"/>
    </xf>
    <xf numFmtId="0" fontId="0" fillId="0" borderId="0" xfId="0" applyAlignment="1">
      <alignment wrapText="1"/>
    </xf>
    <xf numFmtId="0" fontId="0" fillId="0" borderId="0" xfId="1" applyFont="1" applyFill="1" applyBorder="1" applyAlignment="1">
      <alignment horizontal="left" vertical="top" wrapText="1"/>
    </xf>
    <xf numFmtId="0" fontId="1" fillId="0" borderId="0" xfId="1" applyAlignment="1">
      <alignment horizontal="left" vertical="top" wrapText="1"/>
    </xf>
    <xf numFmtId="0" fontId="1" fillId="0" borderId="0" xfId="1" applyFill="1" applyBorder="1" applyAlignment="1">
      <alignment horizontal="left" vertical="top" wrapText="1"/>
    </xf>
    <xf numFmtId="0" fontId="1" fillId="0" borderId="0" xfId="1"/>
    <xf numFmtId="0" fontId="2" fillId="0" borderId="0" xfId="0" applyFont="1" applyAlignment="1">
      <alignment horizontal="left" vertical="top" wrapText="1"/>
    </xf>
    <xf numFmtId="0" fontId="0" fillId="2" borderId="0" xfId="0" applyFill="1"/>
    <xf numFmtId="0" fontId="4" fillId="2" borderId="0" xfId="0" applyFont="1" applyFill="1" applyAlignment="1">
      <alignment horizontal="center"/>
    </xf>
    <xf numFmtId="0" fontId="5" fillId="3" borderId="0" xfId="0" applyFont="1" applyFill="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9" fontId="0" fillId="2" borderId="4" xfId="2" applyFont="1" applyFill="1" applyBorder="1"/>
    <xf numFmtId="0" fontId="0" fillId="2" borderId="10" xfId="0" applyFill="1" applyBorder="1"/>
    <xf numFmtId="9" fontId="0" fillId="2" borderId="8" xfId="2" applyFont="1" applyFill="1" applyBorder="1"/>
    <xf numFmtId="0" fontId="0" fillId="2" borderId="2" xfId="0" applyFill="1" applyBorder="1"/>
    <xf numFmtId="0" fontId="6" fillId="0" borderId="0" xfId="0" applyFont="1" applyAlignment="1">
      <alignment horizontal="left" vertical="top" wrapText="1"/>
    </xf>
    <xf numFmtId="0" fontId="7" fillId="0" borderId="0" xfId="0" applyFont="1" applyAlignment="1">
      <alignment horizontal="left" vertical="top" wrapText="1"/>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9" xfId="0" applyFont="1" applyFill="1" applyBorder="1" applyAlignment="1">
      <alignment horizontal="center"/>
    </xf>
    <xf numFmtId="0" fontId="0" fillId="2" borderId="0" xfId="0" applyFill="1" applyBorder="1"/>
    <xf numFmtId="9" fontId="0" fillId="2" borderId="0" xfId="2" applyFont="1" applyFill="1" applyBorder="1"/>
    <xf numFmtId="0" fontId="0" fillId="0" borderId="0" xfId="0" applyFont="1" applyFill="1" applyAlignment="1">
      <alignment horizontal="left" vertical="top" wrapText="1"/>
    </xf>
    <xf numFmtId="0" fontId="2" fillId="0" borderId="0" xfId="0" applyFont="1" applyFill="1" applyAlignment="1">
      <alignment horizontal="left" vertical="top" wrapText="1"/>
    </xf>
    <xf numFmtId="0" fontId="0" fillId="0" borderId="0" xfId="0" applyFont="1" applyFill="1" applyBorder="1" applyAlignment="1">
      <alignment vertical="top" wrapText="1"/>
    </xf>
    <xf numFmtId="0" fontId="0" fillId="0" borderId="0" xfId="0" applyFont="1" applyFill="1" applyBorder="1" applyAlignment="1">
      <alignment vertical="top"/>
    </xf>
    <xf numFmtId="0" fontId="0" fillId="0" borderId="0" xfId="0" applyFont="1" applyFill="1" applyBorder="1"/>
    <xf numFmtId="0" fontId="0" fillId="0" borderId="0" xfId="0" applyFont="1" applyFill="1" applyBorder="1" applyAlignment="1">
      <alignment horizontal="left" vertical="top" wrapText="1"/>
    </xf>
    <xf numFmtId="0" fontId="0" fillId="0" borderId="0" xfId="0" applyFill="1" applyAlignment="1">
      <alignment horizontal="left" vertical="top" wrapText="1"/>
    </xf>
  </cellXfs>
  <cellStyles count="3">
    <cellStyle name="Hyperlink" xfId="1" builtinId="8"/>
    <cellStyle name="Normal" xfId="0" builtinId="0"/>
    <cellStyle name="Percent" xfId="2" builtinId="5"/>
  </cellStyles>
  <dxfs count="110">
    <dxf>
      <fill>
        <patternFill patternType="none">
          <fgColor indexed="64"/>
          <bgColor indexed="65"/>
        </patternFill>
      </fil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font>
        <strike val="0"/>
        <outline val="0"/>
        <shadow val="0"/>
        <u val="none"/>
        <vertAlign val="baseline"/>
        <sz val="12"/>
        <name val="Aptos Display"/>
        <scheme val="none"/>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vertical="top"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4"/>
        <color theme="1"/>
        <name val="Aptos Narrow"/>
        <family val="2"/>
        <scheme val="minor"/>
      </font>
      <fill>
        <patternFill patternType="none">
          <fgColor indexed="64"/>
          <bgColor indexed="65"/>
        </patternFill>
      </fil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colors>
    <mruColors>
      <color rgb="FFF167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A3DE70-8607-154D-94FC-886F5C5AE18F}" name="Proximity" displayName="Proximity" ref="A1:P47" totalsRowShown="0" dataDxfId="109">
  <autoFilter ref="A1:P47" xr:uid="{05A3DE70-8607-154D-94FC-886F5C5AE18F}"/>
  <sortState xmlns:xlrd2="http://schemas.microsoft.com/office/spreadsheetml/2017/richdata2" ref="A2:P32">
    <sortCondition descending="1" ref="C1:C32"/>
  </sortState>
  <tableColumns count="16">
    <tableColumn id="1" xr3:uid="{BE890421-FAE4-E542-9F1E-B981E196844C}" name="Paper Title" dataDxfId="108"/>
    <tableColumn id="2" xr3:uid="{3EF9D581-8149-E04D-AAD0-820AB0D43B5E}" name="Authors" dataDxfId="107"/>
    <tableColumn id="3" xr3:uid="{EA555D34-595C-9C43-8F97-76F1AE4A5266}" name="Year" dataDxfId="106"/>
    <tableColumn id="4" xr3:uid="{D4A09DA9-9282-DF4A-ADAD-4C45732EE81B}" name="Journal Title" dataDxfId="105"/>
    <tableColumn id="16" xr3:uid="{6E2C10AD-AB73-E24A-898B-73DDF557CB16}" name="Journal Importance" dataDxfId="104"/>
    <tableColumn id="5" xr3:uid="{955A51EE-9B22-7B4C-BFB1-133ED1B97F29}" name="Abstract" dataDxfId="103"/>
    <tableColumn id="12" xr3:uid="{5E3EF9B7-8FE7-1649-A6CF-F53A05750B5E}" name="DOI" dataDxfId="102"/>
    <tableColumn id="6" xr3:uid="{70C24B6A-7FF1-5F49-B979-154258527049}" name="Research / Theory" dataDxfId="101"/>
    <tableColumn id="10" xr3:uid="{8972665B-B720-5245-945A-E21765E20CAE}" name="Method" dataDxfId="100"/>
    <tableColumn id="7" xr3:uid="{8AB08798-7826-5D4E-9E24-62A965A7EA52}" name="Outcome / Findings" dataDxfId="99"/>
    <tableColumn id="13" xr3:uid="{20CDEE81-3EE9-444B-B350-BC58373FB9E6}" name="Effect" dataDxfId="98"/>
    <tableColumn id="8" xr3:uid="{C197D97F-FCE4-1149-84DD-B03DA8E6B9D8}" name="Future Research" dataDxfId="97"/>
    <tableColumn id="11" xr3:uid="{427420AC-26C0-AC44-AFC0-0B1DE7D423A6}" name="Variables" dataDxfId="96"/>
    <tableColumn id="9" xr3:uid="{69462FAC-59D4-A243-B7A2-3A11E78ED3B1}" name="Relevance" dataDxfId="95"/>
    <tableColumn id="14" xr3:uid="{643E54C9-B4A1-E745-B221-7C9BCB30FFB9}" name="Link" dataDxfId="94"/>
    <tableColumn id="15" xr3:uid="{19A2B419-6ED7-A44F-9C0C-D2EF0458EF6B}" name="Reviewed?" dataDxfId="93"/>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20DD51-13C3-5845-AB11-DD7C452F876E}" name="Success" displayName="Success" ref="A1:L28" totalsRowShown="0" headerRowDxfId="92" dataDxfId="91">
  <autoFilter ref="A1:L28" xr:uid="{4D20DD51-13C3-5845-AB11-DD7C452F876E}"/>
  <sortState xmlns:xlrd2="http://schemas.microsoft.com/office/spreadsheetml/2017/richdata2" ref="A2:L28">
    <sortCondition descending="1" ref="C1:C28"/>
  </sortState>
  <tableColumns count="12">
    <tableColumn id="1" xr3:uid="{0063AB55-DE73-9A4D-BB26-B8B0C7549352}" name="Paper Title" dataDxfId="90"/>
    <tableColumn id="2" xr3:uid="{7A6BCA33-7E76-884F-8D2C-C221FD761545}" name="Authors" dataDxfId="89"/>
    <tableColumn id="3" xr3:uid="{BFF03DD3-ABE0-1441-BF7E-ECDE6EA486AC}" name="Year" dataDxfId="88"/>
    <tableColumn id="4" xr3:uid="{7462CFB0-5041-4E40-B883-8FD56BA117B2}" name="Journal Title" dataDxfId="87"/>
    <tableColumn id="10" xr3:uid="{C985F5F5-771E-7848-9FE9-A53029FFC0FB}" name="Journal Importance" dataDxfId="86"/>
    <tableColumn id="5" xr3:uid="{A0E9FAB5-39BC-2F4F-A205-AB5CC0364F27}" name="Abstract" dataDxfId="85"/>
    <tableColumn id="6" xr3:uid="{4C388556-A10C-6844-B741-D8339459D8C5}" name="DOI" dataDxfId="84"/>
    <tableColumn id="8" xr3:uid="{4EEB7A0F-F93B-A641-8436-B67AE36E027C}" name="Insights for Thesis" dataDxfId="83"/>
    <tableColumn id="9" xr3:uid="{56BD3BA3-87C4-0B44-8072-EADA3EAA2EFC}" name="Outcomes" dataDxfId="82"/>
    <tableColumn id="13" xr3:uid="{4DB6468D-1D4F-6247-AC1B-BBD4D59EE943}" name="Relevance" dataDxfId="81"/>
    <tableColumn id="14" xr3:uid="{AE6D7396-2898-3F4D-BA46-767CBD12EE46}" name="Link" dataDxfId="80"/>
    <tableColumn id="7" xr3:uid="{B540F483-EE23-984D-834A-FC30579AD342}" name="Reviewed?" dataDxfId="79"/>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A9A02E-BD4A-BB42-9BBA-32FC0C2447E8}" name="VentureCapital" displayName="VentureCapital" ref="A1:I51" totalsRowShown="0" dataDxfId="78">
  <autoFilter ref="A1:I51" xr:uid="{F5A9A02E-BD4A-BB42-9BBA-32FC0C2447E8}"/>
  <tableColumns count="9">
    <tableColumn id="1" xr3:uid="{D18B0CA3-5962-7543-A774-144A16809721}" name="Paper Title" dataDxfId="77"/>
    <tableColumn id="13" xr3:uid="{8FBDFE7C-578A-1242-A9A5-41270D7EC615}" name="Topic" dataDxfId="76"/>
    <tableColumn id="2" xr3:uid="{A696C405-4D9F-C942-B4F3-D377F3ADB0BA}" name="Authors" dataDxfId="75"/>
    <tableColumn id="3" xr3:uid="{02AC25AE-6EC3-0D42-9A56-9045A3DE8A7A}" name="Year" dataDxfId="74"/>
    <tableColumn id="4" xr3:uid="{45930856-5789-9D4B-8D0C-C8D9650AB468}" name="Journal Title" dataDxfId="73"/>
    <tableColumn id="5" xr3:uid="{CF388386-F820-334E-BAA4-68781F530E64}" name="Journal Importance" dataDxfId="72"/>
    <tableColumn id="6" xr3:uid="{458708A2-BB18-684F-BE7A-50B5FF60B83F}" name="Abstract" dataDxfId="71"/>
    <tableColumn id="11" xr3:uid="{63E15EA5-038A-1346-9985-6BAD37ABE163}" name="Link" dataDxfId="70"/>
    <tableColumn id="12" xr3:uid="{6F91624F-B7DD-2644-B4B3-2A5B05F97964}" name="Reviewed?" dataDxfId="69"/>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3DAF49-133B-4342-B1F1-A669623B84B7}" name="StartupFinancing" displayName="StartupFinancing" ref="A1:I6" totalsRowShown="0" dataDxfId="1">
  <autoFilter ref="A1:I6" xr:uid="{DA3DAF49-133B-4342-B1F1-A669623B84B7}"/>
  <tableColumns count="9">
    <tableColumn id="1" xr3:uid="{D8161E5E-71F1-1946-B4E1-B30528D422AA}" name="Paper Title" dataDxfId="9"/>
    <tableColumn id="2" xr3:uid="{45133EC8-77DB-BC45-8846-B40214F1638C}" name="Topic" dataDxfId="8"/>
    <tableColumn id="3" xr3:uid="{7EC44AD2-9FEE-214C-ACA0-C3917FC9417E}" name="Authors" dataDxfId="0"/>
    <tableColumn id="4" xr3:uid="{6C75F284-F966-7441-AFD8-CDBB0A9803B1}" name="Year" dataDxfId="7"/>
    <tableColumn id="5" xr3:uid="{A01AD45C-1B6A-AE42-99A0-9712C5E3E192}" name="Journal Title" dataDxfId="6"/>
    <tableColumn id="6" xr3:uid="{CD4DE00F-B729-DD46-8F9B-2A8CA3DE0BC2}" name="Journal Importance" dataDxfId="5"/>
    <tableColumn id="7" xr3:uid="{A1D818FA-9230-2141-81C0-50EDB8019EBD}" name="Abstract" dataDxfId="4"/>
    <tableColumn id="8" xr3:uid="{396306FC-5B14-914C-9BE1-5305DC8B03FA}" name="Link" dataDxfId="3" dataCellStyle="Hyperlink"/>
    <tableColumn id="9" xr3:uid="{83E9F2DB-5A6C-B642-B4AC-190170490909}" name="Reviewed?" dataDxfId="2"/>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0717B9-48DC-1545-BEB4-3FAAFA0BD037}" name="VCTheory" displayName="VCTheory" ref="A1:I28" totalsRowShown="0" dataDxfId="68">
  <autoFilter ref="A1:I28" xr:uid="{F5A9A02E-BD4A-BB42-9BBA-32FC0C2447E8}"/>
  <tableColumns count="9">
    <tableColumn id="1" xr3:uid="{B95F0992-9842-EE4F-9B0A-816E94F39B69}" name="Paper Title" dataDxfId="67"/>
    <tableColumn id="13" xr3:uid="{8C764070-1671-7B4A-BDE9-595A7A56C9B3}" name="Topic" dataDxfId="66"/>
    <tableColumn id="2" xr3:uid="{DDB30B63-EEF2-3B4F-BE3D-29F36FA87651}" name="Authors" dataDxfId="65"/>
    <tableColumn id="3" xr3:uid="{1C8DDEE0-2997-E843-A575-5E6FEA47499F}" name="Year" dataDxfId="64"/>
    <tableColumn id="4" xr3:uid="{4A18AFA9-BE70-1345-A4A0-710E14F15C74}" name="Journal Title" dataDxfId="63"/>
    <tableColumn id="5" xr3:uid="{B6A9D77E-3C61-C542-B8D3-04E55556D03E}" name="Journal Importance" dataDxfId="62"/>
    <tableColumn id="6" xr3:uid="{BF854912-6FF3-8845-957C-E27FB31495FD}" name="Abstract" dataDxfId="61"/>
    <tableColumn id="11" xr3:uid="{00B57B48-105F-AC40-98C8-349FB96920FE}" name="Link" dataDxfId="60"/>
    <tableColumn id="12" xr3:uid="{80230E1F-6CB1-6547-B78F-8342F2FD62E4}" name="Reviewed?" dataDxfId="59"/>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30AD82-02A7-6745-A2CA-934FA2D6ABD4}" name="Support" displayName="Support" ref="A1:L18" totalsRowShown="0" dataDxfId="58">
  <autoFilter ref="A1:L18" xr:uid="{6A30AD82-02A7-6745-A2CA-934FA2D6ABD4}"/>
  <sortState xmlns:xlrd2="http://schemas.microsoft.com/office/spreadsheetml/2017/richdata2" ref="A2:L18">
    <sortCondition descending="1" ref="C1:C18"/>
  </sortState>
  <tableColumns count="12">
    <tableColumn id="1" xr3:uid="{A616AEE6-C6DE-3848-B3E0-6002397B9882}" name="Paper Title" dataDxfId="57"/>
    <tableColumn id="2" xr3:uid="{FF60328E-A314-FD4E-820F-3DB20EB3439C}" name="Authors" dataDxfId="56"/>
    <tableColumn id="3" xr3:uid="{CBBF5768-3F3B-6540-A093-4FD23CD75C72}" name="Year" dataDxfId="55"/>
    <tableColumn id="4" xr3:uid="{01171707-AA15-DD41-B524-CDE7D67FF738}" name="Journal Title" dataDxfId="54"/>
    <tableColumn id="8" xr3:uid="{11C89D04-6481-D540-AA96-61DAC7AF4A34}" name="Journal Importance" dataDxfId="53"/>
    <tableColumn id="5" xr3:uid="{AB646E0C-5A77-1444-B818-4CEB6E7B9BFA}" name="Abstract" dataDxfId="52"/>
    <tableColumn id="6" xr3:uid="{A321187A-382D-FE46-806D-75FA9604EB6B}" name="DOI" dataDxfId="51" dataCellStyle="Hyperlink"/>
    <tableColumn id="11" xr3:uid="{0512DC86-6CE5-CB45-B301-2161DBBC1236}" name="Insights for Thesis" dataDxfId="50"/>
    <tableColumn id="12" xr3:uid="{B6492819-882E-6E43-A300-8E723AE7BF33}" name="Outcomes" dataDxfId="49"/>
    <tableColumn id="13" xr3:uid="{FAC6D398-1FDC-6944-9A7E-34C28ECDAA8B}" name="Relevance" dataDxfId="48"/>
    <tableColumn id="14" xr3:uid="{F7655086-4881-9D4F-BDBF-0FB8DE110B27}" name="Link" dataDxfId="47" dataCellStyle="Hyperlink"/>
    <tableColumn id="7" xr3:uid="{3A688F49-F3F4-B549-83D0-B0942C7EE14B}" name="Reviewed?" dataDxfId="46"/>
  </tableColumns>
  <tableStyleInfo name="TableStyleMedium1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0EF1A4-B632-064C-B047-AFD93614047D}" name="Ecosystem" displayName="Ecosystem" ref="A1:K22" totalsRowShown="0" dataDxfId="45">
  <autoFilter ref="A1:K22" xr:uid="{6B0EF1A4-B632-064C-B047-AFD93614047D}"/>
  <sortState xmlns:xlrd2="http://schemas.microsoft.com/office/spreadsheetml/2017/richdata2" ref="A2:K14">
    <sortCondition descending="1" ref="C1:C14"/>
  </sortState>
  <tableColumns count="11">
    <tableColumn id="1" xr3:uid="{DDA40927-D99D-7944-ABBB-E062EAC00CB0}" name="Paper Title" dataDxfId="44"/>
    <tableColumn id="2" xr3:uid="{7063D636-C85B-3548-A015-8D7C939D4FA5}" name="Authors" dataDxfId="43"/>
    <tableColumn id="3" xr3:uid="{0A4B399A-AD2E-3048-B417-A6AB46292C0E}" name="Year" dataDxfId="42"/>
    <tableColumn id="4" xr3:uid="{3ED340CA-2C59-CE48-BDF0-D7CD1022D6AA}" name="Journal Title" dataDxfId="41"/>
    <tableColumn id="10" xr3:uid="{6613DB95-863F-B043-ABF2-28DACB82C976}" name="Journal Importance" dataDxfId="40"/>
    <tableColumn id="5" xr3:uid="{CFA5C437-782F-2146-99F8-88849AC4D708}" name="Abstract" dataDxfId="39"/>
    <tableColumn id="8" xr3:uid="{3BA165FD-1D1B-A345-AA35-D599109FCC87}" name="Insights for Thesis" dataDxfId="38"/>
    <tableColumn id="9" xr3:uid="{E3BC98A8-DF66-6B4E-8276-EBF6B58FA40E}" name="Outcomes" dataDxfId="37"/>
    <tableColumn id="13" xr3:uid="{D0CB5091-71CC-C248-9A19-F90F8F2E8297}" name="Relevance" dataDxfId="36"/>
    <tableColumn id="14" xr3:uid="{C927F29E-2777-C84F-A9EA-3EA05CD3B954}" name="Link" dataDxfId="35" dataCellStyle="Hyperlink"/>
    <tableColumn id="7" xr3:uid="{FF6D7400-F425-4C42-9BBF-ADFBE98D0F07}" name="Reviewed?" dataDxfId="34"/>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B057D3-C952-D345-8F2C-B84814345F7C}" name="Network" displayName="Network" ref="A1:L21" totalsRowShown="0" dataDxfId="33">
  <autoFilter ref="A1:L21" xr:uid="{BDB057D3-C952-D345-8F2C-B84814345F7C}"/>
  <sortState xmlns:xlrd2="http://schemas.microsoft.com/office/spreadsheetml/2017/richdata2" ref="A2:L21">
    <sortCondition descending="1" ref="C1:C21"/>
  </sortState>
  <tableColumns count="12">
    <tableColumn id="1" xr3:uid="{CF32DED6-F460-BC4E-8425-9A38061898F6}" name="Paper Title" dataDxfId="32"/>
    <tableColumn id="2" xr3:uid="{CCB95980-EAA8-D249-8BBC-397525A2F450}" name="Authors" dataDxfId="31"/>
    <tableColumn id="3" xr3:uid="{037E5B70-94CF-D440-816F-4E3CB4C9BD23}" name="Year" dataDxfId="30"/>
    <tableColumn id="4" xr3:uid="{1E353C60-E639-2940-9E11-2CA96BECA2DB}" name="Journal Title" dataDxfId="29"/>
    <tableColumn id="10" xr3:uid="{4F321EEF-3C49-F549-99B7-4791D31958FF}" name="Journal Importance" dataDxfId="28"/>
    <tableColumn id="5" xr3:uid="{C27CEDF0-021E-AD4C-AC46-79A57416DDAD}" name="Abstract" dataDxfId="27"/>
    <tableColumn id="6" xr3:uid="{5A1165FC-0522-0E42-9695-D8A474BA3183}" name="DOI" dataDxfId="26" dataCellStyle="Hyperlink"/>
    <tableColumn id="7" xr3:uid="{0BFB5501-86F2-9343-A561-78081AAC3D16}" name="Insights for Thesis" dataDxfId="25"/>
    <tableColumn id="8" xr3:uid="{46301428-00AB-1B40-B9BD-76F9077E5805}" name="Outcomes" dataDxfId="24"/>
    <tableColumn id="13" xr3:uid="{405179D8-608B-E04F-9EFF-3BFD48149919}" name="Relevance" dataDxfId="23"/>
    <tableColumn id="14" xr3:uid="{9C55F2EE-8819-AB4B-BBE8-87A1890AB86E}" name="Link" dataDxfId="22" dataCellStyle="Hyperlink"/>
    <tableColumn id="9" xr3:uid="{EC72141A-19AA-6848-B1E6-106BFB0309A1}" name="Reviewed?" dataDxfId="21"/>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6F5C17F-65E7-A747-A730-2845D6297FFF}" name="Table9" displayName="Table9" ref="A1:J7" totalsRowShown="0" dataDxfId="11">
  <autoFilter ref="A1:J7" xr:uid="{86F5C17F-65E7-A747-A730-2845D6297FFF}"/>
  <tableColumns count="10">
    <tableColumn id="1" xr3:uid="{A9C5428B-4718-FF44-9FCD-0C711AC5D2EB}" name="Paper Title" dataDxfId="20"/>
    <tableColumn id="2" xr3:uid="{4F22ED0F-90ED-084C-875B-D2ACFA43F0C3}" name="Authors" dataDxfId="19"/>
    <tableColumn id="13" xr3:uid="{448BD838-743C-174E-8313-8B23A5A82284}" name="Topic" dataDxfId="18"/>
    <tableColumn id="3" xr3:uid="{85D89CB4-8644-2B4C-AAB0-593299A9A7C6}" name="Year" dataDxfId="17"/>
    <tableColumn id="4" xr3:uid="{25ECED98-A760-E94C-A8F8-8AC0125F71D1}" name="Journal Title" dataDxfId="10"/>
    <tableColumn id="5" xr3:uid="{4281CF60-E364-5443-9F66-E8CC243CAFA8}" name="Journal Importance" dataDxfId="16"/>
    <tableColumn id="6" xr3:uid="{7B7FE905-1B9C-5C41-84E4-BF149FCE16FA}" name="Abstract" dataDxfId="15"/>
    <tableColumn id="10" xr3:uid="{0689C985-F189-B648-8024-CDA0BFD5E584}" name="Relevance" dataDxfId="14"/>
    <tableColumn id="11" xr3:uid="{953D64E1-58A3-7F44-A196-F2DE65180622}" name="Link" dataDxfId="13" dataCellStyle="Hyperlink"/>
    <tableColumn id="12" xr3:uid="{D7A66561-7B50-6B46-90CA-B3315F9B5D59}" name="Reviewed?"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pajWjXzjaEtyzb9_kt0zBBSWHC6Z5evL/view?usp=share_link" TargetMode="External"/><Relationship Id="rId18" Type="http://schemas.openxmlformats.org/officeDocument/2006/relationships/hyperlink" Target="https://drive.google.com/file/d/1OOE-T2dgz0Z9xzGB8GmJ4YrCzGE-9XRD/view?usp=share_link" TargetMode="External"/><Relationship Id="rId26" Type="http://schemas.openxmlformats.org/officeDocument/2006/relationships/hyperlink" Target="https://drive.google.com/file/d/1KUR1KB-JyKAAlvTnin7z7YfJuYUT_wm6/view?usp=sharing" TargetMode="External"/><Relationship Id="rId39" Type="http://schemas.openxmlformats.org/officeDocument/2006/relationships/hyperlink" Target="https://drive.google.com/file/d/1EiwI1GWrZQx-zWBy24gAtTYb0DfFWjtw/view?usp=sharing" TargetMode="External"/><Relationship Id="rId21" Type="http://schemas.openxmlformats.org/officeDocument/2006/relationships/hyperlink" Target="https://drive.google.com/file/d/1FXZPSx5Y8xSS1SD85W8Md_8SNYRdgCHC/view?usp=share_link" TargetMode="External"/><Relationship Id="rId34" Type="http://schemas.openxmlformats.org/officeDocument/2006/relationships/hyperlink" Target="https://drive.google.com/file/d/1rzWlcPUOv1QiHeUAR8mCGz7ILYGhMRV_/view?usp=share_link" TargetMode="External"/><Relationship Id="rId42" Type="http://schemas.openxmlformats.org/officeDocument/2006/relationships/hyperlink" Target="https://drive.google.com/file/d/17x_nMA2J5LUSq7FZ0ANnQZf1Q2ipar0A/view?usp=share_link" TargetMode="External"/><Relationship Id="rId47" Type="http://schemas.openxmlformats.org/officeDocument/2006/relationships/hyperlink" Target="https://drive.google.com/file/d/1S7q5-KpbZZ4XZOG1NWjqsl00bZOZOTFj/view?usp=sharing" TargetMode="External"/><Relationship Id="rId50" Type="http://schemas.openxmlformats.org/officeDocument/2006/relationships/hyperlink" Target="https://drive.google.com/file/d/1MT_0jhBKylqm_gsA1WT7C4Gpj3BYeFsZ/view?usp=sharing" TargetMode="External"/><Relationship Id="rId7" Type="http://schemas.openxmlformats.org/officeDocument/2006/relationships/hyperlink" Target="https://doi.org/10.1007/s11187-023-00751-9" TargetMode="External"/><Relationship Id="rId2" Type="http://schemas.openxmlformats.org/officeDocument/2006/relationships/hyperlink" Target="https://doi.org/10.1007/s00191-024-00860-y" TargetMode="External"/><Relationship Id="rId16" Type="http://schemas.openxmlformats.org/officeDocument/2006/relationships/hyperlink" Target="https://drive.google.com/file/d/1n8X5HofWKXTOIhEFd9lPtYqBb8Od8zfb/view?usp=share_link" TargetMode="External"/><Relationship Id="rId29" Type="http://schemas.openxmlformats.org/officeDocument/2006/relationships/hyperlink" Target="https://drive.google.com/file/d/11j48MbL2pryclHDu24zdJ9lsA9nClMfA/view?usp=sharing" TargetMode="External"/><Relationship Id="rId11" Type="http://schemas.openxmlformats.org/officeDocument/2006/relationships/hyperlink" Target="https://doi.org/10.1080/00036846.2025.2514086" TargetMode="External"/><Relationship Id="rId24" Type="http://schemas.openxmlformats.org/officeDocument/2006/relationships/hyperlink" Target="https://drive.google.com/file/d/1i0PNK06GY-eKnn29dxBz3TNMb9w3ckv6/view?usp=share_link" TargetMode="External"/><Relationship Id="rId32" Type="http://schemas.openxmlformats.org/officeDocument/2006/relationships/hyperlink" Target="https://drive.google.com/file/d/1BFd_WB9du89tbuPkPEvDjrE3r9DxyjFw/view?usp=sharing" TargetMode="External"/><Relationship Id="rId37" Type="http://schemas.openxmlformats.org/officeDocument/2006/relationships/hyperlink" Target="https://drive.google.com/file/d/1CrfJd4YVElHpyg0gNpxNtgR-w8CfTjcN/view?usp=share_link" TargetMode="External"/><Relationship Id="rId40" Type="http://schemas.openxmlformats.org/officeDocument/2006/relationships/hyperlink" Target="https://drive.google.com/file/d/1NzS-awIeLRvtgBvNIItNUNKwxrvlJLAM/view?usp=share_link" TargetMode="External"/><Relationship Id="rId45" Type="http://schemas.openxmlformats.org/officeDocument/2006/relationships/hyperlink" Target="https://drive.google.com/file/d/1PMPvz2UbWuGgkkHKUgGTrVFPF9ShBREI/view?usp=share_link" TargetMode="External"/><Relationship Id="rId5" Type="http://schemas.openxmlformats.org/officeDocument/2006/relationships/hyperlink" Target="https://hdl.handle.net/10419/27103" TargetMode="External"/><Relationship Id="rId15" Type="http://schemas.openxmlformats.org/officeDocument/2006/relationships/hyperlink" Target="https://drive.google.com/file/d/13ItYVXI0gbHHn4BaJTSyEz4fUGpsc8sw/view?usp=share_link" TargetMode="External"/><Relationship Id="rId23" Type="http://schemas.openxmlformats.org/officeDocument/2006/relationships/hyperlink" Target="https://drive.google.com/file/d/1UkbbQAz24ObIY6RgVIF7iGuR4XvnXn41/view?usp=share_link" TargetMode="External"/><Relationship Id="rId28" Type="http://schemas.openxmlformats.org/officeDocument/2006/relationships/hyperlink" Target="https://drive.google.com/file/d/1oW2sV5_M1cGkKDZ77Dwr58gbmSwXOx4g/view?usp=sharing" TargetMode="External"/><Relationship Id="rId36" Type="http://schemas.openxmlformats.org/officeDocument/2006/relationships/hyperlink" Target="https://doi.org/10.1016/j.respol.2018.12.004" TargetMode="External"/><Relationship Id="rId49" Type="http://schemas.openxmlformats.org/officeDocument/2006/relationships/hyperlink" Target="https://drive.google.com/file/d/1VPVayrf7c7lv-megCC1hH7s0kG7_Lqk4/view?usp=sharing" TargetMode="External"/><Relationship Id="rId10" Type="http://schemas.openxmlformats.org/officeDocument/2006/relationships/hyperlink" Target="https://doi.org/10.1016/j.techfore.2020.120155" TargetMode="External"/><Relationship Id="rId19" Type="http://schemas.openxmlformats.org/officeDocument/2006/relationships/hyperlink" Target="https://drive.google.com/file/d/1_pLuYNvHfZuzqbvKJHOMtL30v3h0QlKE/view?usp=share_link" TargetMode="External"/><Relationship Id="rId31" Type="http://schemas.openxmlformats.org/officeDocument/2006/relationships/hyperlink" Target="https://drive.google.com/file/d/1drm0iuaqvS0nUdctZg6DbX_U5KTmgDj0/view?usp=sharing" TargetMode="External"/><Relationship Id="rId44" Type="http://schemas.openxmlformats.org/officeDocument/2006/relationships/hyperlink" Target="https://drive.google.com/file/d/1hp3rje-VaHwIkS-mDlzQjLxM_PUoUmfE/view?usp=sharing" TargetMode="External"/><Relationship Id="rId52" Type="http://schemas.openxmlformats.org/officeDocument/2006/relationships/table" Target="../tables/table1.xml"/><Relationship Id="rId4" Type="http://schemas.openxmlformats.org/officeDocument/2006/relationships/hyperlink" Target="https://doi.org/10.1057/s41599-024-03695-x" TargetMode="External"/><Relationship Id="rId9" Type="http://schemas.openxmlformats.org/officeDocument/2006/relationships/hyperlink" Target="https://doi.org/10.1287/mnsc.2022.03555" TargetMode="External"/><Relationship Id="rId14" Type="http://schemas.openxmlformats.org/officeDocument/2006/relationships/hyperlink" Target="https://drive.google.com/file/d/1KjDteUdeWOmZb2ofwHQYkNJ-GQwDrl5g/view?usp=share_link" TargetMode="External"/><Relationship Id="rId22" Type="http://schemas.openxmlformats.org/officeDocument/2006/relationships/hyperlink" Target="https://drive.google.com/file/d/1bBXgNJ_igNjBxvp568wndd-TjhJUsuZ7/view?usp=share_link" TargetMode="External"/><Relationship Id="rId27" Type="http://schemas.openxmlformats.org/officeDocument/2006/relationships/hyperlink" Target="https://drive.google.com/file/d/1i755zsr8l1u4xUJPGdlMhYduz6xmzffi/view?usp=sharing" TargetMode="External"/><Relationship Id="rId30" Type="http://schemas.openxmlformats.org/officeDocument/2006/relationships/hyperlink" Target="https://drive.google.com/file/d/1oecL6a75A39IA_7UjvaKanqqhQyx-BZE/view?usp=sharing" TargetMode="External"/><Relationship Id="rId35" Type="http://schemas.openxmlformats.org/officeDocument/2006/relationships/hyperlink" Target="https://drive.google.com/file/d/1EnTo_b0hBAVgjHuYXii7emUT5l746w_2/view?usp=sharing" TargetMode="External"/><Relationship Id="rId43" Type="http://schemas.openxmlformats.org/officeDocument/2006/relationships/hyperlink" Target="https://drive.google.com/file/d/17IHyP6y3CS8l1LioopKNeje5ESMqHti7/view?usp=share_link" TargetMode="External"/><Relationship Id="rId48" Type="http://schemas.openxmlformats.org/officeDocument/2006/relationships/hyperlink" Target="https://drive.google.com/file/d/1u8suOEliGnDm-nvtmzq34JvGb4NLNJP-/view?usp=sharing" TargetMode="External"/><Relationship Id="rId8" Type="http://schemas.openxmlformats.org/officeDocument/2006/relationships/hyperlink" Target="http://dx.doi.org/10.1016/j.jbusres.2013.02.033" TargetMode="External"/><Relationship Id="rId51" Type="http://schemas.openxmlformats.org/officeDocument/2006/relationships/hyperlink" Target="https://drive.google.com/file/d/15xPB1mJZSUKO3rSYPBFh4Iq0P5AgYwmS/view?usp=sharing" TargetMode="External"/><Relationship Id="rId3" Type="http://schemas.openxmlformats.org/officeDocument/2006/relationships/hyperlink" Target="https://dx.doi.org/10.2139/ssrn.4286915" TargetMode="External"/><Relationship Id="rId12" Type="http://schemas.openxmlformats.org/officeDocument/2006/relationships/hyperlink" Target="https://doi.org/10.1016/j.jbusvent.2021.106108" TargetMode="External"/><Relationship Id="rId17" Type="http://schemas.openxmlformats.org/officeDocument/2006/relationships/hyperlink" Target="https://drive.google.com/file/d/1e58gtQELMKe-1y-92cQh1K0-7z2WSBJ6/view?usp=share_link" TargetMode="External"/><Relationship Id="rId25" Type="http://schemas.openxmlformats.org/officeDocument/2006/relationships/hyperlink" Target="https://drive.google.com/file/d/1at_FS4Cfqh5a45KTqhqQ7yQxs0Il23mj/view?usp=sharing" TargetMode="External"/><Relationship Id="rId33" Type="http://schemas.openxmlformats.org/officeDocument/2006/relationships/hyperlink" Target="https://drive.google.com/file/d/1GB2CqR5zMIGFRJ649uQYWlgKCXQYr40z/view?usp=sharing" TargetMode="External"/><Relationship Id="rId38" Type="http://schemas.openxmlformats.org/officeDocument/2006/relationships/hyperlink" Target="https://drive.google.com/file/d/1oSJGakeslsBn8qZEJnqCEVlMjQ4mvlmC/view?usp=sharing" TargetMode="External"/><Relationship Id="rId46" Type="http://schemas.openxmlformats.org/officeDocument/2006/relationships/hyperlink" Target="https://drive.google.com/file/d/1GCDnZo02iAlIpNf0Xwf2bXUjmGW7M1UU/view?usp=share_link" TargetMode="External"/><Relationship Id="rId20" Type="http://schemas.openxmlformats.org/officeDocument/2006/relationships/hyperlink" Target="https://drive.google.com/file/d/1laizOX0EEqTSCF08624w3Ez5aOY1k0Wt/view?usp=share_link" TargetMode="External"/><Relationship Id="rId41" Type="http://schemas.openxmlformats.org/officeDocument/2006/relationships/hyperlink" Target="https://drive.google.com/file/d/1_2OWV5uwTgU7uIjWQ16IMgl1pxMHoOP4/view?usp=share_link" TargetMode="External"/><Relationship Id="rId1" Type="http://schemas.openxmlformats.org/officeDocument/2006/relationships/hyperlink" Target="https://doi.org/10.1016/j.cities.2018.12.013" TargetMode="External"/><Relationship Id="rId6" Type="http://schemas.openxmlformats.org/officeDocument/2006/relationships/hyperlink" Target="https://doi.org/10.1016/j.pacfin.2024.102361"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oi.org/10.1016/j.techfore.2023.122614" TargetMode="External"/><Relationship Id="rId18" Type="http://schemas.openxmlformats.org/officeDocument/2006/relationships/hyperlink" Target="https://doi.org/10.1145/3490354.3494374" TargetMode="External"/><Relationship Id="rId26" Type="http://schemas.openxmlformats.org/officeDocument/2006/relationships/hyperlink" Target="https://drive.google.com/file/d/1m5AYo8DZKxLkeTxsdx2fp9eJ8avsLlVR/view?usp=sharing" TargetMode="External"/><Relationship Id="rId21" Type="http://schemas.openxmlformats.org/officeDocument/2006/relationships/hyperlink" Target="https://drive.google.com/file/d/1FpTTLB7Dq8q6Es2c5DusrbeyTf2xCkvU/view?usp=sharing" TargetMode="External"/><Relationship Id="rId34" Type="http://schemas.openxmlformats.org/officeDocument/2006/relationships/hyperlink" Target="https://doi.org/10.1016/j.mlwa.2021.100062" TargetMode="External"/><Relationship Id="rId7" Type="http://schemas.openxmlformats.org/officeDocument/2006/relationships/hyperlink" Target="https://doi.org/10.1186/s13731-024-00436-x" TargetMode="External"/><Relationship Id="rId12" Type="http://schemas.openxmlformats.org/officeDocument/2006/relationships/hyperlink" Target="https://drive.google.com/file/d/1QCaWBlcAPJ-OobcqtMkcGQ2qPdzMpWdE/view?usp=sharing" TargetMode="External"/><Relationship Id="rId17" Type="http://schemas.openxmlformats.org/officeDocument/2006/relationships/hyperlink" Target="https://drive.google.com/file/d/1cF5k-HNTw6DF4VjS_HrxyFxP_MKBvvDg/view?usp=sharing" TargetMode="External"/><Relationship Id="rId25" Type="http://schemas.openxmlformats.org/officeDocument/2006/relationships/hyperlink" Target="https://drive.google.com/file/d/1DeeqnNggzUVmK-4LUUI_zPp77og2GlVP/view?usp=sharing" TargetMode="External"/><Relationship Id="rId33" Type="http://schemas.openxmlformats.org/officeDocument/2006/relationships/hyperlink" Target="https://drive.google.com/file/d/1il1Db29ik4VLrFu8chFa5xPMfsRGdGn0/view?usp=sharing" TargetMode="External"/><Relationship Id="rId38" Type="http://schemas.openxmlformats.org/officeDocument/2006/relationships/table" Target="../tables/table2.xml"/><Relationship Id="rId2" Type="http://schemas.openxmlformats.org/officeDocument/2006/relationships/hyperlink" Target="https://drive.google.com/file/d/1CpVQEBnORxKtEY0YgEZI6x_K5_LnBWUT/view?usp=sharing" TargetMode="External"/><Relationship Id="rId16" Type="http://schemas.openxmlformats.org/officeDocument/2006/relationships/hyperlink" Target="https://doi.org/10.1016/j.ipm.2021.102555" TargetMode="External"/><Relationship Id="rId20" Type="http://schemas.openxmlformats.org/officeDocument/2006/relationships/hyperlink" Target="https://doi.org/10.1016/j.jfds.2021.04.001" TargetMode="External"/><Relationship Id="rId29" Type="http://schemas.openxmlformats.org/officeDocument/2006/relationships/hyperlink" Target="https://drive.google.com/file/d/1Mu_V5av6B2OgdX11lXuwl2a77wWb58ZI/view?usp=sharing" TargetMode="External"/><Relationship Id="rId1" Type="http://schemas.openxmlformats.org/officeDocument/2006/relationships/hyperlink" Target="https://doi.org/10.1016/j.im.2025.104152" TargetMode="External"/><Relationship Id="rId6" Type="http://schemas.openxmlformats.org/officeDocument/2006/relationships/hyperlink" Target="https://drive.google.com/file/d/1xumTNm8EzSkGSvyg6CI-Mj4BUIeTKlKW/view?usp=sharing" TargetMode="External"/><Relationship Id="rId11" Type="http://schemas.openxmlformats.org/officeDocument/2006/relationships/hyperlink" Target="https://doi.org/10.1080/00472778.2022.2082453" TargetMode="External"/><Relationship Id="rId24" Type="http://schemas.openxmlformats.org/officeDocument/2006/relationships/hyperlink" Target="https://drive.google.com/file/d/1DTwFYZ1ovIryTQY_hfpRlvLwaT-HGW4L/view?usp=sharing" TargetMode="External"/><Relationship Id="rId32" Type="http://schemas.openxmlformats.org/officeDocument/2006/relationships/hyperlink" Target="https://doi.org/10.1016/j.jbvi.2020.e00179" TargetMode="External"/><Relationship Id="rId37" Type="http://schemas.openxmlformats.org/officeDocument/2006/relationships/hyperlink" Target="https://drive.google.com/file/d/1WwwPHU7n6maese_3zpXbvPkQNVfW0cFc/view?usp=share_link" TargetMode="External"/><Relationship Id="rId5" Type="http://schemas.openxmlformats.org/officeDocument/2006/relationships/hyperlink" Target="https://drive.google.com/file/d/1yvVcfA26oNvDc0dHioVcKh8KVz14so6K/view?usp=sharing" TargetMode="External"/><Relationship Id="rId15" Type="http://schemas.openxmlformats.org/officeDocument/2006/relationships/hyperlink" Target="https://drive.google.com/file/d/1Yfym59gqWo-JPhs_zCV7OVe6JyChav5i/view?usp=sharing" TargetMode="External"/><Relationship Id="rId23" Type="http://schemas.openxmlformats.org/officeDocument/2006/relationships/hyperlink" Target="https://hdl.handle.net/10125/59547" TargetMode="External"/><Relationship Id="rId28" Type="http://schemas.openxmlformats.org/officeDocument/2006/relationships/hyperlink" Target="https://drive.google.com/file/d/13dthyPWuKCv4seAQuY6PKC5P2GV0IEuT/view?usp=sharing" TargetMode="External"/><Relationship Id="rId36" Type="http://schemas.openxmlformats.org/officeDocument/2006/relationships/hyperlink" Target="https://drive.google.com/file/d/1WqaXjY9SEACZydCbHHvCLvS-OKT4pDKn/view?usp=sharing" TargetMode="External"/><Relationship Id="rId10" Type="http://schemas.openxmlformats.org/officeDocument/2006/relationships/hyperlink" Target="https://drive.google.com/file/d/10I_XFQ64Zby9qpJcsu9qcwW--OF-Qgpp/view?usp=sharing" TargetMode="External"/><Relationship Id="rId19" Type="http://schemas.openxmlformats.org/officeDocument/2006/relationships/hyperlink" Target="https://drive.google.com/file/d/1k3XyxCy1PSfSmUG3j0GGeftbw31AZpZ-/view?usp=sharing" TargetMode="External"/><Relationship Id="rId31" Type="http://schemas.openxmlformats.org/officeDocument/2006/relationships/hyperlink" Target="https://drive.google.com/file/d/10CalvvXDdl6kOA2a5avl1T4CmslVQMAk/view?usp=sharing" TargetMode="External"/><Relationship Id="rId4" Type="http://schemas.openxmlformats.org/officeDocument/2006/relationships/hyperlink" Target="https://drive.google.com/file/d/1IHdmyOwRHPYCjx0gKdJAMXK38zTLll2P/view?usp=sharing" TargetMode="External"/><Relationship Id="rId9" Type="http://schemas.openxmlformats.org/officeDocument/2006/relationships/hyperlink" Target="https://doi.org/10.1016/j.jfds.2023.100099" TargetMode="External"/><Relationship Id="rId14" Type="http://schemas.openxmlformats.org/officeDocument/2006/relationships/hyperlink" Target="https://drive.google.com/file/d/1j4HlJy4s2kMoR_w9DOuFKY-rPtGOxwfi/view?usp=sharing" TargetMode="External"/><Relationship Id="rId22" Type="http://schemas.openxmlformats.org/officeDocument/2006/relationships/hyperlink" Target="https://drive.google.com/file/d/1OpzcFhLwN2hOxrh_WUNH0kNGs5dU1MF8/view?usp=sharing" TargetMode="External"/><Relationship Id="rId27" Type="http://schemas.openxmlformats.org/officeDocument/2006/relationships/hyperlink" Target="http://dx.doi.org/10.1016/j.jbvi.2018.e00109" TargetMode="External"/><Relationship Id="rId30" Type="http://schemas.openxmlformats.org/officeDocument/2006/relationships/hyperlink" Target="https://doi.org/10.1080/10438599.2020.1769810" TargetMode="External"/><Relationship Id="rId35" Type="http://schemas.openxmlformats.org/officeDocument/2006/relationships/hyperlink" Target="https://drive.google.com/file/d/1wF5rkh80XT7XDuIKPjci6YrO-Ly3Oxll/view?usp=sharing" TargetMode="External"/><Relationship Id="rId8" Type="http://schemas.openxmlformats.org/officeDocument/2006/relationships/hyperlink" Target="https://drive.google.com/file/d/1r-pL__SrDDb3c3EsDMruamID6N64CX7c/view?usp=sharing" TargetMode="External"/><Relationship Id="rId3" Type="http://schemas.openxmlformats.org/officeDocument/2006/relationships/hyperlink" Target="https://doi.org/10.1016/j.ejor.2024.09.011"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rive.google.com/file/d/1uzVN6JfixKkV0ijz4VKtcG0rJQYBtyV9/view?usp=sharing" TargetMode="External"/><Relationship Id="rId18" Type="http://schemas.openxmlformats.org/officeDocument/2006/relationships/hyperlink" Target="https://drive.google.com/file/d/1-yahtqQICadbjBXLzg_wxdvuNJ79_AfG/view?usp=share_link" TargetMode="External"/><Relationship Id="rId26" Type="http://schemas.openxmlformats.org/officeDocument/2006/relationships/hyperlink" Target="https://drive.google.com/file/d/1jQEz1YvfKn9b7pdkGV_n2LnA36dLN7f8/view?usp=share_link" TargetMode="External"/><Relationship Id="rId39" Type="http://schemas.openxmlformats.org/officeDocument/2006/relationships/hyperlink" Target="https://drive.google.com/file/d/1VD3eSVIGgE53SpDXkaqAVnu-qpmLGlOx/view?usp=sharing" TargetMode="External"/><Relationship Id="rId21" Type="http://schemas.openxmlformats.org/officeDocument/2006/relationships/hyperlink" Target="https://drive.google.com/file/d/1XSPwPwtW2ozBMMj4N-HeC0MUCIjMNyL9/view?usp=share_link" TargetMode="External"/><Relationship Id="rId34" Type="http://schemas.openxmlformats.org/officeDocument/2006/relationships/hyperlink" Target="https://drive.google.com/file/d/10vh4KdOpBXEFQot8DFIKEGCl0Yg_r2Qq/view?usp=share_link" TargetMode="External"/><Relationship Id="rId42" Type="http://schemas.openxmlformats.org/officeDocument/2006/relationships/hyperlink" Target="https://drive.google.com/file/d/1M_L6okxFfmOIhYEMko3YAq8MswG1W_dD/view?usp=sharing" TargetMode="External"/><Relationship Id="rId7" Type="http://schemas.openxmlformats.org/officeDocument/2006/relationships/hyperlink" Target="https://drive.google.com/file/d/1zBZFBqhRKmC645leGwSTZd-d-mULkzO9/view?usp=sharing" TargetMode="External"/><Relationship Id="rId2" Type="http://schemas.openxmlformats.org/officeDocument/2006/relationships/hyperlink" Target="https://drive.google.com/file/d/1x0NasR-C_VSLF0kkhVwG-pC5KLVDqC4T/view?usp=sharing" TargetMode="External"/><Relationship Id="rId16" Type="http://schemas.openxmlformats.org/officeDocument/2006/relationships/hyperlink" Target="https://drive.google.com/file/d/1n0MSxPPLaJb5cof8MvpyWeXkqHEWLsrH/view?usp=share_link" TargetMode="External"/><Relationship Id="rId29" Type="http://schemas.openxmlformats.org/officeDocument/2006/relationships/hyperlink" Target="https://drive.google.com/file/d/1okUKHhVjn_hxRofN-ld8duNv0gnVeeKi/view?usp=share_link" TargetMode="External"/><Relationship Id="rId1" Type="http://schemas.openxmlformats.org/officeDocument/2006/relationships/hyperlink" Target="https://drive.google.com/file/d/1x7TPGUYJZvusQiaEHf_MDwyAcoRywF5e/view?usp=sharing" TargetMode="External"/><Relationship Id="rId6" Type="http://schemas.openxmlformats.org/officeDocument/2006/relationships/hyperlink" Target="https://drive.google.com/file/d/11Ewjm_jCWvI80VcYqi2rlPOrPTRacMwO/view?usp=sharing" TargetMode="External"/><Relationship Id="rId11" Type="http://schemas.openxmlformats.org/officeDocument/2006/relationships/hyperlink" Target="https://drive.google.com/file/d/1KrnBg3G3phFEhMcfe_Xnzj1KDgNoFkdf/view?usp=sharing" TargetMode="External"/><Relationship Id="rId24" Type="http://schemas.openxmlformats.org/officeDocument/2006/relationships/hyperlink" Target="https://drive.google.com/file/d/1eai53VQTeognW4EkzYGtbSsJxmWHgX6l/view?usp=share_link" TargetMode="External"/><Relationship Id="rId32" Type="http://schemas.openxmlformats.org/officeDocument/2006/relationships/hyperlink" Target="https://drive.google.com/file/d/1rg4SNguVf8SVrxlJCMj6JBYZA5jQfn0i/view?usp=sharing" TargetMode="External"/><Relationship Id="rId37" Type="http://schemas.openxmlformats.org/officeDocument/2006/relationships/hyperlink" Target="https://drive.google.com/file/d/1cfH9AglEcsGhSKy5Nliq8RuWY5fXX4T_/view?usp=sharing" TargetMode="External"/><Relationship Id="rId40" Type="http://schemas.openxmlformats.org/officeDocument/2006/relationships/hyperlink" Target="https://drive.google.com/file/d/1wg0zVr-tvmK498gAt5jZqbkdle791-vD/view?usp=sharing" TargetMode="External"/><Relationship Id="rId45" Type="http://schemas.openxmlformats.org/officeDocument/2006/relationships/table" Target="../tables/table3.xml"/><Relationship Id="rId5" Type="http://schemas.openxmlformats.org/officeDocument/2006/relationships/hyperlink" Target="https://drive.google.com/file/d/1pcKvf4HImgv0yp3B_-86WXHBzY6XRADT/view?usp=sharing" TargetMode="External"/><Relationship Id="rId15" Type="http://schemas.openxmlformats.org/officeDocument/2006/relationships/hyperlink" Target="https://drive.google.com/file/d/1Q6FxlgiC0PFdmxjgzK66J21zPziK-EL-/view?usp=share_link" TargetMode="External"/><Relationship Id="rId23" Type="http://schemas.openxmlformats.org/officeDocument/2006/relationships/hyperlink" Target="https://drive.google.com/file/d/1XSPwPwtW2ozBMMj4N-HeC0MUCIjMNyL9/view?usp=share_link" TargetMode="External"/><Relationship Id="rId28" Type="http://schemas.openxmlformats.org/officeDocument/2006/relationships/hyperlink" Target="https://drive.google.com/file/d/1FZrFpT5X_m9gqZV0S3kNzUKlLjCRNM8_/view?usp=share_link" TargetMode="External"/><Relationship Id="rId36" Type="http://schemas.openxmlformats.org/officeDocument/2006/relationships/hyperlink" Target="https://drive.google.com/file/d/1p17quOxb-CAbSx9awfyUORDrd0xfufBo/view?usp=sharing" TargetMode="External"/><Relationship Id="rId10" Type="http://schemas.openxmlformats.org/officeDocument/2006/relationships/hyperlink" Target="https://drive.google.com/file/d/17mJn82p85umQ6y3nn64Ghujjm5vuUojY/view?usp=sharing" TargetMode="External"/><Relationship Id="rId19" Type="http://schemas.openxmlformats.org/officeDocument/2006/relationships/hyperlink" Target="https://drive.google.com/file/d/1bA2zF3tVg2AuSwexskVBZK0c18FR3wcO/view?usp=share_link" TargetMode="External"/><Relationship Id="rId31" Type="http://schemas.openxmlformats.org/officeDocument/2006/relationships/hyperlink" Target="https://drive.google.com/file/d/1YOri8g5Z0NrNpi01dAzyhBgO_SJvO2R5/view?usp=share_link" TargetMode="External"/><Relationship Id="rId44" Type="http://schemas.openxmlformats.org/officeDocument/2006/relationships/hyperlink" Target="https://drive.google.com/file/d/1fDivHZOTX4mDhTmJr9NKTSfrpY3Fdhe6/view?usp=sharing" TargetMode="External"/><Relationship Id="rId4" Type="http://schemas.openxmlformats.org/officeDocument/2006/relationships/hyperlink" Target="https://drive.google.com/file/d/133tpogdzEUkIgdg4dLBeTMGew9jj_aSG/view?usp=sharing" TargetMode="External"/><Relationship Id="rId9" Type="http://schemas.openxmlformats.org/officeDocument/2006/relationships/hyperlink" Target="https://drive.google.com/file/d/12cCvttChNIlwbvU8CvWDEBk1hEs8ey9h/view?usp=sharing" TargetMode="External"/><Relationship Id="rId14" Type="http://schemas.openxmlformats.org/officeDocument/2006/relationships/hyperlink" Target="https://drive.google.com/file/d/1LKarmexvREvtjzXnLrZ2DF0osQ6pSHdv/view?usp=share_link" TargetMode="External"/><Relationship Id="rId22" Type="http://schemas.openxmlformats.org/officeDocument/2006/relationships/hyperlink" Target="https://drive.google.com/file/d/1dyZnazFGfJJqEBdFvJ2f5mHp5nMqdjCj/view?usp=share_link" TargetMode="External"/><Relationship Id="rId27" Type="http://schemas.openxmlformats.org/officeDocument/2006/relationships/hyperlink" Target="https://drive.google.com/file/d/1OprQQVpgCVFySJ_yzVzSlOeaVJlhHEu5/view?usp=share_link" TargetMode="External"/><Relationship Id="rId30" Type="http://schemas.openxmlformats.org/officeDocument/2006/relationships/hyperlink" Target="https://drive.google.com/file/d/1DvD9Q62lHu5Wjq_WuTOmzSzl3GpyDiOj/view?usp=share_link" TargetMode="External"/><Relationship Id="rId35" Type="http://schemas.openxmlformats.org/officeDocument/2006/relationships/hyperlink" Target="https://drive.google.com/file/d/1vfMdpwV37WY0R822toN5BxcWeLW3pq5S/view?usp=sharing" TargetMode="External"/><Relationship Id="rId43" Type="http://schemas.openxmlformats.org/officeDocument/2006/relationships/hyperlink" Target="https://drive.google.com/file/d/1GAZiPTAPuDZlulWLGbGLU-4tZwE5iD6r/view?usp=share_link" TargetMode="External"/><Relationship Id="rId8" Type="http://schemas.openxmlformats.org/officeDocument/2006/relationships/hyperlink" Target="https://drive.google.com/file/d/1hGQ08AnSgtjz-722qNIRnAxvBFtVgEdS/view?usp=sharing" TargetMode="External"/><Relationship Id="rId3" Type="http://schemas.openxmlformats.org/officeDocument/2006/relationships/hyperlink" Target="https://drive.google.com/file/d/1OjIRoo-cfLL96ISyWiXSs5CAsV6l7G0A/view?usp=sharing" TargetMode="External"/><Relationship Id="rId12" Type="http://schemas.openxmlformats.org/officeDocument/2006/relationships/hyperlink" Target="https://drive.google.com/file/d/1r2V5OXMV0ymTkig7H2Lx_KMT9x2gUzwP/view?usp=sharing" TargetMode="External"/><Relationship Id="rId17" Type="http://schemas.openxmlformats.org/officeDocument/2006/relationships/hyperlink" Target="https://drive.google.com/file/d/1kmuEFzulN45nJsv-SelxpA266JzVAQmU/view?usp=share_link" TargetMode="External"/><Relationship Id="rId25" Type="http://schemas.openxmlformats.org/officeDocument/2006/relationships/hyperlink" Target="https://drive.google.com/file/d/1Jo8l5aZDB1CUuJ4Xn1kzugJ_kuPcBYRw/view?usp=share_link" TargetMode="External"/><Relationship Id="rId33" Type="http://schemas.openxmlformats.org/officeDocument/2006/relationships/hyperlink" Target="https://drive.google.com/file/d/1f3TMc1ThaUNga-3-2dH_pxj2bVX48EQm/view?usp=share_link" TargetMode="External"/><Relationship Id="rId38" Type="http://schemas.openxmlformats.org/officeDocument/2006/relationships/hyperlink" Target="https://drive.google.com/file/d/14KhDfw_OQtMMVBbUMlMqkCZDBVOeLKnz/view?usp=share_link" TargetMode="External"/><Relationship Id="rId20" Type="http://schemas.openxmlformats.org/officeDocument/2006/relationships/hyperlink" Target="https://drive.google.com/file/d/1ZzgIDs5T46Hot_9zwZJx6qXJtq-GGjeq/view?usp=sharing" TargetMode="External"/><Relationship Id="rId41" Type="http://schemas.openxmlformats.org/officeDocument/2006/relationships/hyperlink" Target="https://drive.google.com/file/d/1siNqOpBto80CdBhzCLtOw3szV2iBRBud/view?usp=share_link"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wKKbfsMmQjimWplwBu8Cl2XtncmhmA3-/view?usp=share_link" TargetMode="External"/><Relationship Id="rId2" Type="http://schemas.openxmlformats.org/officeDocument/2006/relationships/hyperlink" Target="https://drive.google.com/file/d/1l90Y6qJX2K5nsRrZl0Hsh-mkpO4cXB40/view?usp=sharing" TargetMode="External"/><Relationship Id="rId1" Type="http://schemas.openxmlformats.org/officeDocument/2006/relationships/hyperlink" Target="https://drive.google.com/file/d/1ZS4HT3LmOwRMCdwfH3kvpMKcB1qL8JD6/view?usp=sharing" TargetMode="External"/><Relationship Id="rId5" Type="http://schemas.openxmlformats.org/officeDocument/2006/relationships/table" Target="../tables/table4.xml"/><Relationship Id="rId4" Type="http://schemas.openxmlformats.org/officeDocument/2006/relationships/hyperlink" Target="https://drive.google.com/file/d/1b9bEe_1bNJHCweOr0UlOmwyqv_y9TuGj/view?usp=share_link"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1xKafqIsfuP1Sch7WTT_RNZ9ufTUWAOV/view?usp=share_link" TargetMode="External"/><Relationship Id="rId13" Type="http://schemas.openxmlformats.org/officeDocument/2006/relationships/hyperlink" Target="https://drive.google.com/file/d/1PQowaHJquefgCoqCqsV2gtqMcMwzIA6i/view?usp=share_link" TargetMode="External"/><Relationship Id="rId3" Type="http://schemas.openxmlformats.org/officeDocument/2006/relationships/hyperlink" Target="https://drive.google.com/file/d/1I-IGLAVVEpf1UPNGpbtWXrXdLZwBhoZy/view?usp=sharing" TargetMode="External"/><Relationship Id="rId7" Type="http://schemas.openxmlformats.org/officeDocument/2006/relationships/hyperlink" Target="https://drive.google.com/file/d/1G5zsARZKs0j6n9Jq9iQl85Y8tQkctLIL/view?usp=share_link" TargetMode="External"/><Relationship Id="rId12" Type="http://schemas.openxmlformats.org/officeDocument/2006/relationships/hyperlink" Target="https://drive.google.com/file/d/1vmgXDtvNGHt-ShyDCCqSkVXHLRxb-LZW/view?usp=share_link" TargetMode="External"/><Relationship Id="rId17" Type="http://schemas.openxmlformats.org/officeDocument/2006/relationships/table" Target="../tables/table5.xml"/><Relationship Id="rId2" Type="http://schemas.openxmlformats.org/officeDocument/2006/relationships/hyperlink" Target="https://drive.google.com/file/d/1CzlHnkAmQ94GIf4-xeWnAsl1SIeAUOUy/view?usp=share_link" TargetMode="External"/><Relationship Id="rId16" Type="http://schemas.openxmlformats.org/officeDocument/2006/relationships/hyperlink" Target="https://drive.google.com/file/d/1zBZFBqhRKmC645leGwSTZd-d-mULkzO9/view?usp=sharing" TargetMode="External"/><Relationship Id="rId1" Type="http://schemas.openxmlformats.org/officeDocument/2006/relationships/hyperlink" Target="https://drive.google.com/file/d/1ntWPbfc11lrQ4N8Bt6S3lkYfVB8hiIJp/view?usp=share_link" TargetMode="External"/><Relationship Id="rId6" Type="http://schemas.openxmlformats.org/officeDocument/2006/relationships/hyperlink" Target="https://drive.google.com/file/d/1stSa9uYN9yvNC98BStmlsOdzbphLyjyF/view?usp=share_link" TargetMode="External"/><Relationship Id="rId11" Type="http://schemas.openxmlformats.org/officeDocument/2006/relationships/hyperlink" Target="https://drive.google.com/file/d/1r-dKyhj4ErXhGBNC8BQx1oUKNFEobnqV/view?usp=sharing" TargetMode="External"/><Relationship Id="rId5" Type="http://schemas.openxmlformats.org/officeDocument/2006/relationships/hyperlink" Target="https://drive.google.com/file/d/1A-RtoLtxQ8ONMNbBeneHI7zKwHBCegyd/view?usp=share_link" TargetMode="External"/><Relationship Id="rId15" Type="http://schemas.openxmlformats.org/officeDocument/2006/relationships/hyperlink" Target="https://drive.google.com/file/d/133tpogdzEUkIgdg4dLBeTMGew9jj_aSG/view?usp=sharing" TargetMode="External"/><Relationship Id="rId10" Type="http://schemas.openxmlformats.org/officeDocument/2006/relationships/hyperlink" Target="https://drive.google.com/file/d/1hoke52b67v79Q_1nyFc0ykhOM1Ej8Snw/view?usp=share_link" TargetMode="External"/><Relationship Id="rId4" Type="http://schemas.openxmlformats.org/officeDocument/2006/relationships/hyperlink" Target="https://drive.google.com/file/d/19M8GRggDqahIv69JeCgGfkrz15C3ESE_/view?usp=share_link" TargetMode="External"/><Relationship Id="rId9" Type="http://schemas.openxmlformats.org/officeDocument/2006/relationships/hyperlink" Target="https://drive.google.com/file/d/1K3CubNtxVwSFKRx3XqUbQqGaigVd71f1/view?usp=share_link" TargetMode="External"/><Relationship Id="rId14" Type="http://schemas.openxmlformats.org/officeDocument/2006/relationships/hyperlink" Target="https://drive.google.com/file/d/1WoACRLC9AcliBaYMwHX1yAJL1iPgWANI/view?usp=sharin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file/d/1Y-u5CVcnoGQn-Ak8QLZ15StNT9-gltr_/view?usp=sharing" TargetMode="External"/><Relationship Id="rId13" Type="http://schemas.openxmlformats.org/officeDocument/2006/relationships/hyperlink" Target="https://doi.org/10.1111/j.1540-6261.2007.01291.x" TargetMode="External"/><Relationship Id="rId18" Type="http://schemas.openxmlformats.org/officeDocument/2006/relationships/hyperlink" Target="https://drive.google.com/file/d/1PO9NrEPzi1sWNATSmMiHA0KDT2U_U_Il/view?usp=sharing" TargetMode="External"/><Relationship Id="rId3" Type="http://schemas.openxmlformats.org/officeDocument/2006/relationships/hyperlink" Target="https://drive.google.com/file/d/1TjWYPKlD8Tf-J_smjpmL_MqE-TexFdKO/view?usp=sharing" TargetMode="External"/><Relationship Id="rId21" Type="http://schemas.openxmlformats.org/officeDocument/2006/relationships/hyperlink" Target="https://doi.org/10.1016/j.frl.2019.101321" TargetMode="External"/><Relationship Id="rId7" Type="http://schemas.openxmlformats.org/officeDocument/2006/relationships/hyperlink" Target="https://doi.org/10.1093/rfs/hhr096" TargetMode="External"/><Relationship Id="rId12" Type="http://schemas.openxmlformats.org/officeDocument/2006/relationships/hyperlink" Target="https://drive.google.com/file/d/1FvmTPCcEKOMuicyQDDg-62WNguDYyRpV/view?usp=sharing" TargetMode="External"/><Relationship Id="rId17" Type="http://schemas.openxmlformats.org/officeDocument/2006/relationships/hyperlink" Target="https://doi.org/10.1007/s11573-022-01129-1" TargetMode="External"/><Relationship Id="rId2" Type="http://schemas.openxmlformats.org/officeDocument/2006/relationships/hyperlink" Target="https://drive.google.com/file/d/1fDXE4ppL1V3RzZFpUhHZ0ZiYY3o3_mAh/view?usp=sharing" TargetMode="External"/><Relationship Id="rId16" Type="http://schemas.openxmlformats.org/officeDocument/2006/relationships/hyperlink" Target="https://drive.google.com/file/d/1_5YBw0tN7jpySBJA0FpxuWDrU5F1bB8E/view?usp=sharing" TargetMode="External"/><Relationship Id="rId20" Type="http://schemas.openxmlformats.org/officeDocument/2006/relationships/hyperlink" Target="https://drive.google.com/file/d/1-F3t67MxHUcvf-yyQFBU_LpDvHWtoKiK/view?usp=sharing" TargetMode="External"/><Relationship Id="rId1" Type="http://schemas.openxmlformats.org/officeDocument/2006/relationships/hyperlink" Target="https://doi.org/10.1016/j.jfineco.2020.01.004" TargetMode="External"/><Relationship Id="rId6" Type="http://schemas.openxmlformats.org/officeDocument/2006/relationships/hyperlink" Target="https://drive.google.com/file/d/1OQ0RoO40q2O37rthjSOu1Gosl06T9mHw/view?usp=sharing" TargetMode="External"/><Relationship Id="rId11" Type="http://schemas.openxmlformats.org/officeDocument/2006/relationships/hyperlink" Target="https://doi.org/10.1016/j.jfineco.2008.07.004" TargetMode="External"/><Relationship Id="rId24" Type="http://schemas.openxmlformats.org/officeDocument/2006/relationships/table" Target="../tables/table6.xml"/><Relationship Id="rId5" Type="http://schemas.openxmlformats.org/officeDocument/2006/relationships/hyperlink" Target="https://drive.google.com/file/d/1t2Ja9Tv2cl8h6pWxpqSZpDRPG1O6L7CS/view?usp=sharing" TargetMode="External"/><Relationship Id="rId15" Type="http://schemas.openxmlformats.org/officeDocument/2006/relationships/hyperlink" Target="https://doi.org/10.1111/j.1540-6261.2007.01207.x" TargetMode="External"/><Relationship Id="rId23" Type="http://schemas.openxmlformats.org/officeDocument/2006/relationships/hyperlink" Target="https://drive.google.com/file/d/1wtgORcyDr4H1Qo78TES9_17CtFX0m0Xx/view?usp=share_link" TargetMode="External"/><Relationship Id="rId10" Type="http://schemas.openxmlformats.org/officeDocument/2006/relationships/hyperlink" Target="https://drive.google.com/file/d/1kcETwDZK_bcnZ1tWEHMeWEs3GqcUGPRS/view?usp=sharing" TargetMode="External"/><Relationship Id="rId19" Type="http://schemas.openxmlformats.org/officeDocument/2006/relationships/hyperlink" Target="https://drive.google.com/file/d/1axJxaSfsUPS_Ijl5_gI-9usC1Zo6K__C/view?usp=share_link" TargetMode="External"/><Relationship Id="rId4" Type="http://schemas.openxmlformats.org/officeDocument/2006/relationships/hyperlink" Target="https://doi.org/10.1111/etap.12154" TargetMode="External"/><Relationship Id="rId9" Type="http://schemas.openxmlformats.org/officeDocument/2006/relationships/hyperlink" Target="https://drive.google.com/file/d/13Xm-ez2GUTXVvcuKsLo6aRK6ettTVXFf/view?usp=sharing" TargetMode="External"/><Relationship Id="rId14" Type="http://schemas.openxmlformats.org/officeDocument/2006/relationships/hyperlink" Target="https://drive.google.com/file/d/1SGFzuw2jkTBjw_e4DzlwX9sJ0viiK1qK/view?usp=sharing" TargetMode="External"/><Relationship Id="rId22" Type="http://schemas.openxmlformats.org/officeDocument/2006/relationships/hyperlink" Target="https://drive.google.com/file/d/1C0VMv_TDIiX9pfi-5onJW5Qy9CxJtwIk/view?usp=share_link"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M1_S6ltw3eLecq31gQ7Qb_j1fw_oqLvO/view?usp=sharing" TargetMode="External"/><Relationship Id="rId13" Type="http://schemas.openxmlformats.org/officeDocument/2006/relationships/hyperlink" Target="https://drive.google.com/file/d/1vF_D1fSezavrpquaqerCF7XiFK5UQgrO/view?usp=sharing" TargetMode="External"/><Relationship Id="rId3" Type="http://schemas.openxmlformats.org/officeDocument/2006/relationships/hyperlink" Target="https://drive.google.com/file/d/1N2CZGjgplsqyAXublPOIF-aidHtWiooW/view?usp=sharing" TargetMode="External"/><Relationship Id="rId7" Type="http://schemas.openxmlformats.org/officeDocument/2006/relationships/hyperlink" Target="https://drive.google.com/file/d/1nwbOQTXG5WK9E6Udi3AsgKi9tQLCWQxg/view?usp=sharing" TargetMode="External"/><Relationship Id="rId12" Type="http://schemas.openxmlformats.org/officeDocument/2006/relationships/hyperlink" Target="https://drive.google.com/file/d/1bN7NcnzegYS8DKxAzsawT0KNJYhw28p5/view?usp=sharing" TargetMode="External"/><Relationship Id="rId17" Type="http://schemas.openxmlformats.org/officeDocument/2006/relationships/table" Target="../tables/table7.xml"/><Relationship Id="rId2" Type="http://schemas.openxmlformats.org/officeDocument/2006/relationships/hyperlink" Target="https://drive.google.com/file/d/17nnFz6VnjZ9c7Bxcd27dmdmClNFrQ89n/view?usp=sharing" TargetMode="External"/><Relationship Id="rId16" Type="http://schemas.openxmlformats.org/officeDocument/2006/relationships/hyperlink" Target="https://drive.google.com/file/d/1RFLVSRYy1_fa2rdLIVhcWBN_0N79l2NO/view?usp=sharing" TargetMode="External"/><Relationship Id="rId1" Type="http://schemas.openxmlformats.org/officeDocument/2006/relationships/hyperlink" Target="https://drive.google.com/file/d/1XBKwsb6T7trFlZr3A5efgVvc3uM2wkPd/view?usp=sharing" TargetMode="External"/><Relationship Id="rId6" Type="http://schemas.openxmlformats.org/officeDocument/2006/relationships/hyperlink" Target="https://drive.google.com/file/d/1wVYe3vYEbGxsldCaZz-8IAR6O4JAkt74/view?usp=sharing" TargetMode="External"/><Relationship Id="rId11" Type="http://schemas.openxmlformats.org/officeDocument/2006/relationships/hyperlink" Target="https://drive.google.com/file/d/1luhC5kirApB5_Lo-glGv1DfUxJRIOUd-/view?usp=sharing" TargetMode="External"/><Relationship Id="rId5" Type="http://schemas.openxmlformats.org/officeDocument/2006/relationships/hyperlink" Target="https://drive.google.com/file/d/1Zy_KpV2xlRbM-1k1pN4XL5GS6bK5h-kD/view?usp=sharing" TargetMode="External"/><Relationship Id="rId15" Type="http://schemas.openxmlformats.org/officeDocument/2006/relationships/hyperlink" Target="https://drive.google.com/file/d/1bruvI89emqcWDNX2lA21E0kmoeQObPae/view?usp=sharing" TargetMode="External"/><Relationship Id="rId10" Type="http://schemas.openxmlformats.org/officeDocument/2006/relationships/hyperlink" Target="https://drive.google.com/file/d/1mplnLZcmeYcqzHDf7sx6ME2M6jD6vHp2/view?usp=sharing" TargetMode="External"/><Relationship Id="rId4" Type="http://schemas.openxmlformats.org/officeDocument/2006/relationships/hyperlink" Target="https://drive.google.com/file/d/1_ltwBQuS4CK2QgrN0MhPT0y6Z5M0PLMS/view?usp=sharing" TargetMode="External"/><Relationship Id="rId9" Type="http://schemas.openxmlformats.org/officeDocument/2006/relationships/hyperlink" Target="https://drive.google.com/file/d/14t2oYkGMjEY4XCgQP5-siUB3SVKkwnEt/view?usp=sharing" TargetMode="External"/><Relationship Id="rId14" Type="http://schemas.openxmlformats.org/officeDocument/2006/relationships/hyperlink" Target="https://drive.google.com/file/d/1_xnz9yMbKKATh04CzNM7sN6llls8zxmM/view?usp=sharing"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file/d/1lPNdpndawafePP0MCj9n_Cl69mgLcPBc/view?usp=sharing" TargetMode="External"/><Relationship Id="rId13" Type="http://schemas.openxmlformats.org/officeDocument/2006/relationships/hyperlink" Target="https://doi.org/10.1111/1540-8520.00029" TargetMode="External"/><Relationship Id="rId18" Type="http://schemas.openxmlformats.org/officeDocument/2006/relationships/hyperlink" Target="https://drive.google.com/file/d/1qIhdKLp1FQECC6QHqEBGOa151i-EcvNB/view?usp=sharing" TargetMode="External"/><Relationship Id="rId26" Type="http://schemas.openxmlformats.org/officeDocument/2006/relationships/hyperlink" Target="https://drive.google.com/file/d/1ryxUMGG7HsHfRoaxhvAKeholz7VjWsGu/view?usp=sharing" TargetMode="External"/><Relationship Id="rId3" Type="http://schemas.openxmlformats.org/officeDocument/2006/relationships/hyperlink" Target="https://drive.google.com/file/d/1JVOA6adnFfrijJTG0Wtk5EmtbcIR2Vw5/view?usp=sharing" TargetMode="External"/><Relationship Id="rId21" Type="http://schemas.openxmlformats.org/officeDocument/2006/relationships/hyperlink" Target="https://drive.google.com/file/d/15FNwRy-MID4GXJ3VWfQcOlhihNbQ3W8R/view?usp=sharing" TargetMode="External"/><Relationship Id="rId7" Type="http://schemas.openxmlformats.org/officeDocument/2006/relationships/hyperlink" Target="https://doi.org/10.1080/0965431022000031301" TargetMode="External"/><Relationship Id="rId12" Type="http://schemas.openxmlformats.org/officeDocument/2006/relationships/hyperlink" Target="https://drive.google.com/file/d/15Dr-T5nlIrYZMStSQLJFZZCdijMZSPKn/view?usp=sharing" TargetMode="External"/><Relationship Id="rId17" Type="http://schemas.openxmlformats.org/officeDocument/2006/relationships/hyperlink" Target="https://doi.org/10.1016/S0191-3085(00)22009-1" TargetMode="External"/><Relationship Id="rId25" Type="http://schemas.openxmlformats.org/officeDocument/2006/relationships/hyperlink" Target="https://www.sciencedirect.com/science/article/pii/0883902691900082" TargetMode="External"/><Relationship Id="rId2" Type="http://schemas.openxmlformats.org/officeDocument/2006/relationships/hyperlink" Target="https://drive.google.com/file/d/1bI63PHOWLdRXCOCotaIwKlNlURwJCpL2/view?usp=sharing" TargetMode="External"/><Relationship Id="rId16" Type="http://schemas.openxmlformats.org/officeDocument/2006/relationships/hyperlink" Target="https://drive.google.com/file/d/14I3K_SX-WPZelcsz02FFg23V2jRCWP2V/view?usp=sharing" TargetMode="External"/><Relationship Id="rId20" Type="http://schemas.openxmlformats.org/officeDocument/2006/relationships/hyperlink" Target="https://www.jstor.org/stable/3094082" TargetMode="External"/><Relationship Id="rId29" Type="http://schemas.openxmlformats.org/officeDocument/2006/relationships/hyperlink" Target="https://drive.google.com/file/d/1cVWW9TBP1xbd8014QH5qRUnEwc02XaTW/view?usp=sharing" TargetMode="External"/><Relationship Id="rId1" Type="http://schemas.openxmlformats.org/officeDocument/2006/relationships/hyperlink" Target="https://doi.org/10.1016/j.chb.2018.08.033" TargetMode="External"/><Relationship Id="rId6" Type="http://schemas.openxmlformats.org/officeDocument/2006/relationships/hyperlink" Target="https://drive.google.com/file/d/1WeFGUi46xqS1tkCdSwjuYHriuz9YMDOL/view?usp=sharing" TargetMode="External"/><Relationship Id="rId11" Type="http://schemas.openxmlformats.org/officeDocument/2006/relationships/hyperlink" Target="https://drive.google.com/file/d/18WDCTHJjsNrjGjQPsRTfl9LyfV21TYCT/view?usp=sharing" TargetMode="External"/><Relationship Id="rId24" Type="http://schemas.openxmlformats.org/officeDocument/2006/relationships/hyperlink" Target="https://doi.org/10.1016/0883-9026(91)90008-2" TargetMode="External"/><Relationship Id="rId5" Type="http://schemas.openxmlformats.org/officeDocument/2006/relationships/hyperlink" Target="https://drive.google.com/file/d/1hoUrjtWGtedloIKSFPZ4Iv62P8rKobgs/view?usp=sharing" TargetMode="External"/><Relationship Id="rId15" Type="http://schemas.openxmlformats.org/officeDocument/2006/relationships/hyperlink" Target="https://drive.google.com/file/d/1wb-XN8OZcLC10IJzdUvCsBq03fVPaIuA/view?usp=sharing" TargetMode="External"/><Relationship Id="rId23" Type="http://schemas.openxmlformats.org/officeDocument/2006/relationships/hyperlink" Target="https://www.jstor.org/stable/3665619" TargetMode="External"/><Relationship Id="rId28" Type="http://schemas.openxmlformats.org/officeDocument/2006/relationships/hyperlink" Target="https://drive.google.com/file/d/1RIeOSmo8Wvc_i8ZUgly0Sp-QtRm3ajWd/view?usp=sharing" TargetMode="External"/><Relationship Id="rId10" Type="http://schemas.openxmlformats.org/officeDocument/2006/relationships/hyperlink" Target="https://drive.google.com/file/d/11nU9MYzi3sbbxKrJunVcriSZlLnxJbZE/view?usp=sharing" TargetMode="External"/><Relationship Id="rId19" Type="http://schemas.openxmlformats.org/officeDocument/2006/relationships/hyperlink" Target="https://drive.google.com/file/d/1AdOv3N6BK4U9W4cMAa_RTO9gA9aTVLC-/view?usp=sharing" TargetMode="External"/><Relationship Id="rId4" Type="http://schemas.openxmlformats.org/officeDocument/2006/relationships/hyperlink" Target="https://doi.org/10.1111/etap.12011" TargetMode="External"/><Relationship Id="rId9" Type="http://schemas.openxmlformats.org/officeDocument/2006/relationships/hyperlink" Target="https://drive.google.com/file/d/16vlFJpueWRbYNILjRMO8wE7g0ehXsJ7-/view?usp=sharing" TargetMode="External"/><Relationship Id="rId14" Type="http://schemas.openxmlformats.org/officeDocument/2006/relationships/hyperlink" Target="https://www.jstor.org/stable/822571" TargetMode="External"/><Relationship Id="rId22" Type="http://schemas.openxmlformats.org/officeDocument/2006/relationships/hyperlink" Target="https://drive.google.com/file/d/1nvVrMt2fqSRpRZ1CSu1m-BvfbjDl28DJ/view?usp=sharing" TargetMode="External"/><Relationship Id="rId27" Type="http://schemas.openxmlformats.org/officeDocument/2006/relationships/hyperlink" Target="https://drive.google.com/file/d/1QVKwYjfQy1YfRvgd9s8t_nqZUdDTpuQ3/view?usp=sharing" TargetMode="External"/><Relationship Id="rId30"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hyperlink" Target="https://drive.google.com/file/d/1jCu6LxBZP8EIC45iYf8J5YD3IdZAEUdX/view?usp=share_link" TargetMode="External"/><Relationship Id="rId1" Type="http://schemas.openxmlformats.org/officeDocument/2006/relationships/hyperlink" Target="https://drive.google.com/file/d/1rTOGKRRmdF6tanqTHXVEgfbQupmWOovf/view?usp=shar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C02D4-FEA1-2A47-B8BA-8639EEFFB0CC}">
  <dimension ref="A1:P47"/>
  <sheetViews>
    <sheetView zoomScale="110" zoomScaleNormal="170" workbookViewId="0">
      <pane xSplit="3" ySplit="1" topLeftCell="D40" activePane="bottomRight" state="frozen"/>
      <selection pane="topRight" activeCell="D1" sqref="D1"/>
      <selection pane="bottomLeft" activeCell="A2" sqref="A2"/>
      <selection pane="bottomRight" activeCell="O43" sqref="O43"/>
    </sheetView>
  </sheetViews>
  <sheetFormatPr baseColWidth="10" defaultRowHeight="19" x14ac:dyDescent="0.2"/>
  <cols>
    <col min="1" max="1" width="29.83203125" customWidth="1"/>
    <col min="2" max="2" width="32.5" customWidth="1"/>
    <col min="3" max="3" width="14.5" customWidth="1"/>
    <col min="4" max="5" width="29.5" customWidth="1"/>
    <col min="6" max="6" width="97.83203125" customWidth="1"/>
    <col min="7" max="7" width="33.1640625" customWidth="1"/>
    <col min="8" max="8" width="45.1640625" customWidth="1"/>
    <col min="9" max="9" width="39.6640625" customWidth="1"/>
    <col min="10" max="10" width="51.6640625" customWidth="1"/>
    <col min="11" max="11" width="52.5" style="3" customWidth="1"/>
    <col min="12" max="12" width="49" customWidth="1"/>
    <col min="13" max="13" width="29" customWidth="1"/>
    <col min="15" max="15" width="36.5" customWidth="1"/>
  </cols>
  <sheetData>
    <row r="1" spans="1:16" ht="16" x14ac:dyDescent="0.2">
      <c r="A1" t="s">
        <v>13</v>
      </c>
      <c r="B1" t="s">
        <v>3</v>
      </c>
      <c r="C1" t="s">
        <v>4</v>
      </c>
      <c r="D1" t="s">
        <v>12</v>
      </c>
      <c r="E1" t="s">
        <v>595</v>
      </c>
      <c r="F1" t="s">
        <v>0</v>
      </c>
      <c r="G1" t="s">
        <v>11</v>
      </c>
      <c r="H1" t="s">
        <v>5</v>
      </c>
      <c r="I1" t="s">
        <v>6</v>
      </c>
      <c r="J1" t="s">
        <v>1</v>
      </c>
      <c r="K1" t="s">
        <v>107</v>
      </c>
      <c r="L1" t="s">
        <v>2</v>
      </c>
      <c r="M1" t="s">
        <v>7</v>
      </c>
      <c r="N1" t="s">
        <v>8</v>
      </c>
      <c r="O1" t="s">
        <v>113</v>
      </c>
      <c r="P1" t="s">
        <v>532</v>
      </c>
    </row>
    <row r="2" spans="1:16" s="1" customFormat="1" ht="306" x14ac:dyDescent="0.2">
      <c r="A2" s="5" t="s">
        <v>24</v>
      </c>
      <c r="B2" s="5" t="s">
        <v>25</v>
      </c>
      <c r="C2" s="5">
        <v>2025</v>
      </c>
      <c r="D2" s="5" t="s">
        <v>27</v>
      </c>
      <c r="E2" s="5" t="s">
        <v>596</v>
      </c>
      <c r="F2" s="5" t="s">
        <v>28</v>
      </c>
      <c r="G2" s="5" t="s">
        <v>29</v>
      </c>
      <c r="H2" s="5"/>
      <c r="I2" s="5"/>
      <c r="J2" s="5"/>
      <c r="K2" s="11"/>
      <c r="L2" s="5"/>
      <c r="M2" s="5"/>
      <c r="N2" s="5">
        <v>3</v>
      </c>
      <c r="O2" s="8" t="s">
        <v>117</v>
      </c>
      <c r="P2" s="5" t="s">
        <v>533</v>
      </c>
    </row>
    <row r="3" spans="1:16" ht="409.6" x14ac:dyDescent="0.2">
      <c r="A3" s="5" t="s">
        <v>98</v>
      </c>
      <c r="B3" s="5" t="s">
        <v>99</v>
      </c>
      <c r="C3" s="5">
        <v>2025</v>
      </c>
      <c r="D3" s="5" t="s">
        <v>100</v>
      </c>
      <c r="E3" s="5" t="s">
        <v>597</v>
      </c>
      <c r="F3" s="5" t="s">
        <v>101</v>
      </c>
      <c r="G3" s="9" t="s">
        <v>102</v>
      </c>
      <c r="H3" s="5"/>
      <c r="I3" s="5"/>
      <c r="J3" s="5"/>
      <c r="K3" s="11"/>
      <c r="L3" s="5"/>
      <c r="M3" s="5"/>
      <c r="N3" s="5">
        <v>3</v>
      </c>
      <c r="O3" s="8" t="s">
        <v>137</v>
      </c>
      <c r="P3" s="5" t="s">
        <v>533</v>
      </c>
    </row>
    <row r="4" spans="1:16" ht="340" x14ac:dyDescent="0.2">
      <c r="A4" s="5" t="s">
        <v>90</v>
      </c>
      <c r="B4" s="5" t="s">
        <v>87</v>
      </c>
      <c r="C4" s="5">
        <v>2025</v>
      </c>
      <c r="D4" s="5" t="s">
        <v>88</v>
      </c>
      <c r="E4" s="5" t="s">
        <v>594</v>
      </c>
      <c r="F4" s="5" t="s">
        <v>89</v>
      </c>
      <c r="G4" s="5"/>
      <c r="H4" s="5"/>
      <c r="I4" s="5"/>
      <c r="J4" s="5"/>
      <c r="K4" s="11"/>
      <c r="L4" s="5"/>
      <c r="M4" s="5"/>
      <c r="N4" s="5">
        <v>3</v>
      </c>
      <c r="O4" s="8" t="s">
        <v>133</v>
      </c>
      <c r="P4" s="5" t="s">
        <v>533</v>
      </c>
    </row>
    <row r="5" spans="1:16" ht="409.6" x14ac:dyDescent="0.2">
      <c r="A5" s="5" t="s">
        <v>15</v>
      </c>
      <c r="B5" s="5" t="s">
        <v>623</v>
      </c>
      <c r="C5" s="5">
        <v>2024</v>
      </c>
      <c r="D5" s="5" t="s">
        <v>16</v>
      </c>
      <c r="E5" s="5" t="s">
        <v>597</v>
      </c>
      <c r="F5" s="5" t="s">
        <v>17</v>
      </c>
      <c r="G5" s="5" t="s">
        <v>18</v>
      </c>
      <c r="H5" s="5"/>
      <c r="I5" s="5"/>
      <c r="J5" s="5"/>
      <c r="K5" s="11"/>
      <c r="L5" s="5"/>
      <c r="M5" s="5"/>
      <c r="N5" s="5">
        <v>3</v>
      </c>
      <c r="O5" s="8" t="s">
        <v>115</v>
      </c>
      <c r="P5" s="5" t="s">
        <v>533</v>
      </c>
    </row>
    <row r="6" spans="1:16" ht="356" x14ac:dyDescent="0.2">
      <c r="A6" s="5" t="s">
        <v>39</v>
      </c>
      <c r="B6" s="5" t="s">
        <v>40</v>
      </c>
      <c r="C6" s="5">
        <v>2024</v>
      </c>
      <c r="D6" s="5" t="s">
        <v>41</v>
      </c>
      <c r="E6" s="5" t="s">
        <v>594</v>
      </c>
      <c r="F6" s="5" t="s">
        <v>42</v>
      </c>
      <c r="G6" s="5" t="s">
        <v>38</v>
      </c>
      <c r="H6" s="5"/>
      <c r="I6" s="5"/>
      <c r="J6" s="5"/>
      <c r="K6" s="11"/>
      <c r="L6" s="5"/>
      <c r="M6" s="5"/>
      <c r="N6" s="5">
        <v>1</v>
      </c>
      <c r="O6" s="8" t="s">
        <v>120</v>
      </c>
      <c r="P6" s="5"/>
    </row>
    <row r="7" spans="1:16" ht="289" x14ac:dyDescent="0.2">
      <c r="A7" s="5" t="s">
        <v>52</v>
      </c>
      <c r="B7" s="5" t="s">
        <v>53</v>
      </c>
      <c r="C7" s="5">
        <v>2024</v>
      </c>
      <c r="D7" s="5" t="s">
        <v>54</v>
      </c>
      <c r="E7" s="5" t="s">
        <v>594</v>
      </c>
      <c r="F7" s="5" t="s">
        <v>55</v>
      </c>
      <c r="G7" s="7" t="s">
        <v>56</v>
      </c>
      <c r="H7" s="5"/>
      <c r="I7" s="5"/>
      <c r="J7" s="5"/>
      <c r="K7" s="11"/>
      <c r="L7" s="5"/>
      <c r="M7" s="5"/>
      <c r="N7" s="5">
        <v>2</v>
      </c>
      <c r="O7" s="8" t="s">
        <v>122</v>
      </c>
      <c r="P7" s="5"/>
    </row>
    <row r="8" spans="1:16" ht="340" x14ac:dyDescent="0.2">
      <c r="A8" s="5" t="s">
        <v>82</v>
      </c>
      <c r="B8" s="5" t="s">
        <v>85</v>
      </c>
      <c r="C8" s="5">
        <v>2024</v>
      </c>
      <c r="D8" s="5" t="s">
        <v>84</v>
      </c>
      <c r="E8" s="5" t="s">
        <v>594</v>
      </c>
      <c r="F8" s="5" t="s">
        <v>86</v>
      </c>
      <c r="G8" s="9" t="s">
        <v>83</v>
      </c>
      <c r="H8" s="5"/>
      <c r="I8" s="5"/>
      <c r="J8" s="5"/>
      <c r="K8" s="11"/>
      <c r="L8" s="5"/>
      <c r="M8" s="5"/>
      <c r="N8" s="5">
        <v>2</v>
      </c>
      <c r="O8" s="8" t="s">
        <v>132</v>
      </c>
      <c r="P8" s="5"/>
    </row>
    <row r="9" spans="1:16" ht="409.5" x14ac:dyDescent="0.2">
      <c r="A9" s="5" t="s">
        <v>91</v>
      </c>
      <c r="B9" s="5" t="s">
        <v>92</v>
      </c>
      <c r="C9" s="5">
        <v>2024</v>
      </c>
      <c r="D9" s="5" t="s">
        <v>93</v>
      </c>
      <c r="E9" s="5" t="s">
        <v>597</v>
      </c>
      <c r="F9" s="5" t="s">
        <v>94</v>
      </c>
      <c r="G9" s="5"/>
      <c r="H9" s="5"/>
      <c r="I9" s="5"/>
      <c r="J9" s="5"/>
      <c r="K9" s="11"/>
      <c r="L9" s="5"/>
      <c r="M9" s="5"/>
      <c r="N9" s="5">
        <v>1</v>
      </c>
      <c r="O9" s="8" t="s">
        <v>135</v>
      </c>
      <c r="P9" s="5"/>
    </row>
    <row r="10" spans="1:16" ht="409.6" x14ac:dyDescent="0.2">
      <c r="A10" s="5" t="s">
        <v>103</v>
      </c>
      <c r="B10" s="5" t="s">
        <v>104</v>
      </c>
      <c r="C10" s="5">
        <v>2023</v>
      </c>
      <c r="D10" s="5" t="s">
        <v>105</v>
      </c>
      <c r="E10" s="5" t="s">
        <v>599</v>
      </c>
      <c r="F10" s="5" t="s">
        <v>106</v>
      </c>
      <c r="G10" s="5"/>
      <c r="H10" s="5"/>
      <c r="I10" s="5"/>
      <c r="J10" s="5"/>
      <c r="K10" s="11"/>
      <c r="L10" s="5"/>
      <c r="M10" s="5"/>
      <c r="N10" s="5">
        <v>2</v>
      </c>
      <c r="O10" s="8" t="s">
        <v>138</v>
      </c>
      <c r="P10" s="5"/>
    </row>
    <row r="11" spans="1:16" ht="340" x14ac:dyDescent="0.2">
      <c r="A11" s="5" t="s">
        <v>62</v>
      </c>
      <c r="B11" s="5" t="s">
        <v>63</v>
      </c>
      <c r="C11" s="5">
        <v>2023</v>
      </c>
      <c r="D11" s="5" t="s">
        <v>64</v>
      </c>
      <c r="E11" s="5" t="s">
        <v>594</v>
      </c>
      <c r="F11" s="5" t="s">
        <v>65</v>
      </c>
      <c r="G11" s="9" t="s">
        <v>66</v>
      </c>
      <c r="H11" s="5"/>
      <c r="I11" s="5"/>
      <c r="J11" s="5"/>
      <c r="K11" s="11"/>
      <c r="L11" s="5"/>
      <c r="M11" s="5"/>
      <c r="N11" s="5">
        <v>3</v>
      </c>
      <c r="O11" s="8" t="s">
        <v>126</v>
      </c>
      <c r="P11" s="5" t="s">
        <v>533</v>
      </c>
    </row>
    <row r="12" spans="1:16" ht="289" x14ac:dyDescent="0.2">
      <c r="A12" s="5" t="s">
        <v>140</v>
      </c>
      <c r="B12" s="5" t="s">
        <v>61</v>
      </c>
      <c r="C12" s="5">
        <v>2023</v>
      </c>
      <c r="D12" s="5"/>
      <c r="E12" s="5" t="s">
        <v>596</v>
      </c>
      <c r="F12" s="5" t="s">
        <v>60</v>
      </c>
      <c r="G12" s="5"/>
      <c r="H12" s="5"/>
      <c r="I12" s="5"/>
      <c r="J12" s="5"/>
      <c r="K12" s="11"/>
      <c r="L12" s="5"/>
      <c r="M12" s="5"/>
      <c r="N12" s="5">
        <v>1</v>
      </c>
      <c r="O12" s="8" t="s">
        <v>125</v>
      </c>
      <c r="P12" s="5"/>
    </row>
    <row r="13" spans="1:16" ht="409.5" x14ac:dyDescent="0.2">
      <c r="A13" s="5" t="s">
        <v>23</v>
      </c>
      <c r="B13" s="5" t="s">
        <v>19</v>
      </c>
      <c r="C13" s="5">
        <v>2022</v>
      </c>
      <c r="D13" s="5" t="s">
        <v>20</v>
      </c>
      <c r="E13" s="5" t="s">
        <v>596</v>
      </c>
      <c r="F13" s="5" t="s">
        <v>21</v>
      </c>
      <c r="G13" s="5" t="s">
        <v>22</v>
      </c>
      <c r="H13" s="5"/>
      <c r="I13" s="5"/>
      <c r="J13" s="5"/>
      <c r="K13" s="11"/>
      <c r="L13" s="5"/>
      <c r="M13" s="5"/>
      <c r="N13" s="5">
        <v>2</v>
      </c>
      <c r="O13" s="8" t="s">
        <v>116</v>
      </c>
      <c r="P13" s="5"/>
    </row>
    <row r="14" spans="1:16" ht="306" x14ac:dyDescent="0.2">
      <c r="A14" s="5" t="s">
        <v>108</v>
      </c>
      <c r="B14" s="5" t="s">
        <v>109</v>
      </c>
      <c r="C14" s="5">
        <v>2021</v>
      </c>
      <c r="D14" s="5" t="s">
        <v>110</v>
      </c>
      <c r="E14" s="5" t="s">
        <v>594</v>
      </c>
      <c r="F14" s="5" t="s">
        <v>111</v>
      </c>
      <c r="G14" s="9" t="s">
        <v>112</v>
      </c>
      <c r="H14" s="5"/>
      <c r="I14" s="5"/>
      <c r="J14" s="5"/>
      <c r="K14" s="11"/>
      <c r="L14" s="5"/>
      <c r="M14" s="5"/>
      <c r="N14" s="5">
        <v>3</v>
      </c>
      <c r="O14" s="8" t="s">
        <v>139</v>
      </c>
      <c r="P14" s="5" t="s">
        <v>533</v>
      </c>
    </row>
    <row r="15" spans="1:16" ht="221" x14ac:dyDescent="0.2">
      <c r="A15" s="5" t="s">
        <v>30</v>
      </c>
      <c r="B15" s="5" t="s">
        <v>31</v>
      </c>
      <c r="C15" s="5">
        <v>2021</v>
      </c>
      <c r="D15" s="5" t="s">
        <v>32</v>
      </c>
      <c r="E15" s="5" t="s">
        <v>596</v>
      </c>
      <c r="F15" s="5" t="s">
        <v>33</v>
      </c>
      <c r="G15" s="5"/>
      <c r="H15" s="5"/>
      <c r="I15" s="5"/>
      <c r="J15" s="5"/>
      <c r="K15" s="11"/>
      <c r="L15" s="5"/>
      <c r="M15" s="5"/>
      <c r="N15" s="5">
        <v>1</v>
      </c>
      <c r="O15" s="8" t="s">
        <v>118</v>
      </c>
      <c r="P15" s="5"/>
    </row>
    <row r="16" spans="1:16" ht="409.5" x14ac:dyDescent="0.2">
      <c r="A16" s="5" t="s">
        <v>134</v>
      </c>
      <c r="B16" s="5" t="s">
        <v>96</v>
      </c>
      <c r="C16" s="5">
        <v>2020</v>
      </c>
      <c r="D16" s="5" t="s">
        <v>97</v>
      </c>
      <c r="E16" s="5" t="s">
        <v>594</v>
      </c>
      <c r="F16" s="5" t="s">
        <v>557</v>
      </c>
      <c r="G16" s="9" t="s">
        <v>95</v>
      </c>
      <c r="H16" s="5"/>
      <c r="I16" s="5"/>
      <c r="J16" s="5"/>
      <c r="K16" s="11"/>
      <c r="L16" s="5"/>
      <c r="M16" s="5"/>
      <c r="N16" s="5">
        <v>1</v>
      </c>
      <c r="O16" s="8" t="s">
        <v>136</v>
      </c>
      <c r="P16" s="5"/>
    </row>
    <row r="17" spans="1:16" ht="409.5" x14ac:dyDescent="0.2">
      <c r="A17" s="5" t="s">
        <v>72</v>
      </c>
      <c r="B17" s="5" t="s">
        <v>73</v>
      </c>
      <c r="C17" s="5">
        <v>2020</v>
      </c>
      <c r="D17" s="5"/>
      <c r="E17" s="5" t="s">
        <v>596</v>
      </c>
      <c r="F17" s="5" t="s">
        <v>624</v>
      </c>
      <c r="G17" s="5"/>
      <c r="H17" s="5"/>
      <c r="I17" s="5"/>
      <c r="J17" s="5"/>
      <c r="K17" s="11"/>
      <c r="L17" s="5"/>
      <c r="M17" s="5"/>
      <c r="N17" s="5">
        <v>1</v>
      </c>
      <c r="O17" s="8" t="s">
        <v>128</v>
      </c>
      <c r="P17" s="5"/>
    </row>
    <row r="18" spans="1:16" ht="409.6" x14ac:dyDescent="0.2">
      <c r="A18" s="5" t="s">
        <v>9</v>
      </c>
      <c r="B18" s="5" t="s">
        <v>10</v>
      </c>
      <c r="C18" s="5">
        <v>2019</v>
      </c>
      <c r="D18" s="5" t="s">
        <v>26</v>
      </c>
      <c r="E18" s="5" t="s">
        <v>594</v>
      </c>
      <c r="F18" s="5" t="s">
        <v>625</v>
      </c>
      <c r="G18" s="5" t="s">
        <v>14</v>
      </c>
      <c r="H18" s="5"/>
      <c r="I18" s="5"/>
      <c r="J18" s="5"/>
      <c r="K18" s="11"/>
      <c r="L18" s="5"/>
      <c r="M18" s="5"/>
      <c r="N18" s="5">
        <v>2</v>
      </c>
      <c r="O18" s="8" t="s">
        <v>114</v>
      </c>
      <c r="P18" s="5"/>
    </row>
    <row r="19" spans="1:16" ht="388" x14ac:dyDescent="0.2">
      <c r="A19" s="5" t="s">
        <v>559</v>
      </c>
      <c r="B19" s="5" t="s">
        <v>558</v>
      </c>
      <c r="C19" s="5">
        <v>2019</v>
      </c>
      <c r="D19" s="5" t="s">
        <v>262</v>
      </c>
      <c r="E19" s="5" t="s">
        <v>594</v>
      </c>
      <c r="F19" s="5" t="s">
        <v>560</v>
      </c>
      <c r="G19" s="8" t="s">
        <v>561</v>
      </c>
      <c r="H19" s="5"/>
      <c r="I19" s="5"/>
      <c r="J19" s="5"/>
      <c r="K19" s="11"/>
      <c r="L19" s="5"/>
      <c r="M19" s="5"/>
      <c r="N19" s="5">
        <v>2</v>
      </c>
      <c r="O19" s="8" t="s">
        <v>562</v>
      </c>
      <c r="P19" s="5"/>
    </row>
    <row r="20" spans="1:16" ht="356" x14ac:dyDescent="0.2">
      <c r="A20" s="5" t="s">
        <v>57</v>
      </c>
      <c r="B20" s="5" t="s">
        <v>58</v>
      </c>
      <c r="C20" s="5">
        <v>2019</v>
      </c>
      <c r="D20" s="5"/>
      <c r="E20" s="5" t="s">
        <v>596</v>
      </c>
      <c r="F20" s="5" t="s">
        <v>59</v>
      </c>
      <c r="G20" s="5"/>
      <c r="H20" s="5"/>
      <c r="I20" s="5"/>
      <c r="J20" s="5"/>
      <c r="K20" s="11"/>
      <c r="L20" s="5"/>
      <c r="M20" s="5"/>
      <c r="N20" s="5">
        <v>3</v>
      </c>
      <c r="O20" s="8" t="s">
        <v>124</v>
      </c>
      <c r="P20" s="5" t="s">
        <v>533</v>
      </c>
    </row>
    <row r="21" spans="1:16" ht="404" x14ac:dyDescent="0.2">
      <c r="A21" s="5" t="s">
        <v>526</v>
      </c>
      <c r="B21" s="5" t="s">
        <v>527</v>
      </c>
      <c r="C21" s="5">
        <v>2018</v>
      </c>
      <c r="D21" s="5" t="s">
        <v>528</v>
      </c>
      <c r="E21" s="5" t="s">
        <v>594</v>
      </c>
      <c r="F21" s="5" t="s">
        <v>529</v>
      </c>
      <c r="G21" s="5" t="s">
        <v>530</v>
      </c>
      <c r="H21" s="5"/>
      <c r="I21" s="5"/>
      <c r="J21" s="5"/>
      <c r="K21" s="11"/>
      <c r="L21" s="5"/>
      <c r="M21" s="5"/>
      <c r="N21" s="5">
        <v>2</v>
      </c>
      <c r="O21" s="8" t="s">
        <v>531</v>
      </c>
      <c r="P21" s="5" t="s">
        <v>533</v>
      </c>
    </row>
    <row r="22" spans="1:16" ht="388" x14ac:dyDescent="0.2">
      <c r="A22" s="5" t="s">
        <v>67</v>
      </c>
      <c r="B22" s="5" t="s">
        <v>68</v>
      </c>
      <c r="C22" s="5">
        <v>2013</v>
      </c>
      <c r="D22" s="5" t="s">
        <v>69</v>
      </c>
      <c r="E22" s="5" t="s">
        <v>594</v>
      </c>
      <c r="F22" s="5" t="s">
        <v>70</v>
      </c>
      <c r="G22" s="9" t="s">
        <v>71</v>
      </c>
      <c r="H22" s="5"/>
      <c r="I22" s="5"/>
      <c r="J22" s="5"/>
      <c r="K22" s="11"/>
      <c r="L22" s="5"/>
      <c r="M22" s="5"/>
      <c r="N22" s="5">
        <v>2</v>
      </c>
      <c r="O22" s="8" t="s">
        <v>127</v>
      </c>
      <c r="P22" s="5" t="s">
        <v>533</v>
      </c>
    </row>
    <row r="23" spans="1:16" ht="221" x14ac:dyDescent="0.2">
      <c r="A23" s="5" t="s">
        <v>34</v>
      </c>
      <c r="B23" s="5" t="s">
        <v>35</v>
      </c>
      <c r="C23" s="5">
        <v>2010</v>
      </c>
      <c r="D23" s="5"/>
      <c r="E23" s="5" t="s">
        <v>596</v>
      </c>
      <c r="F23" s="5" t="s">
        <v>36</v>
      </c>
      <c r="G23" s="5" t="s">
        <v>37</v>
      </c>
      <c r="H23" s="5"/>
      <c r="I23" s="5"/>
      <c r="J23" s="5"/>
      <c r="K23" s="11">
        <v>1</v>
      </c>
      <c r="L23" s="5"/>
      <c r="M23" s="5" t="s">
        <v>550</v>
      </c>
      <c r="N23" s="5">
        <v>3</v>
      </c>
      <c r="O23" s="8" t="s">
        <v>119</v>
      </c>
      <c r="P23" s="5" t="s">
        <v>533</v>
      </c>
    </row>
    <row r="24" spans="1:16" ht="323" x14ac:dyDescent="0.2">
      <c r="A24" s="5" t="s">
        <v>539</v>
      </c>
      <c r="B24" s="5" t="s">
        <v>541</v>
      </c>
      <c r="C24" s="5">
        <v>2009</v>
      </c>
      <c r="D24" s="5" t="s">
        <v>542</v>
      </c>
      <c r="E24" s="5" t="s">
        <v>596</v>
      </c>
      <c r="F24" s="5" t="s">
        <v>540</v>
      </c>
      <c r="G24" s="5"/>
      <c r="H24" s="5"/>
      <c r="I24" s="5"/>
      <c r="J24" s="5"/>
      <c r="K24" s="11"/>
      <c r="L24" s="5"/>
      <c r="M24" s="5"/>
      <c r="N24" s="5">
        <v>3</v>
      </c>
      <c r="O24" s="5"/>
      <c r="P24" s="5" t="s">
        <v>533</v>
      </c>
    </row>
    <row r="25" spans="1:16" ht="255" x14ac:dyDescent="0.2">
      <c r="A25" s="5" t="s">
        <v>48</v>
      </c>
      <c r="B25" s="5" t="s">
        <v>44</v>
      </c>
      <c r="C25" s="5">
        <v>2008</v>
      </c>
      <c r="D25" s="5" t="s">
        <v>49</v>
      </c>
      <c r="E25" s="5" t="s">
        <v>594</v>
      </c>
      <c r="F25" s="5" t="s">
        <v>50</v>
      </c>
      <c r="G25" s="5" t="s">
        <v>51</v>
      </c>
      <c r="H25" s="5"/>
      <c r="I25" s="5"/>
      <c r="J25" s="5"/>
      <c r="K25" s="11"/>
      <c r="L25" s="5"/>
      <c r="M25" s="5"/>
      <c r="N25" s="5">
        <v>3</v>
      </c>
      <c r="O25" s="8" t="s">
        <v>123</v>
      </c>
      <c r="P25" s="5" t="s">
        <v>533</v>
      </c>
    </row>
    <row r="26" spans="1:16" ht="289" x14ac:dyDescent="0.2">
      <c r="A26" s="5" t="s">
        <v>588</v>
      </c>
      <c r="B26" s="5" t="s">
        <v>587</v>
      </c>
      <c r="C26" s="5">
        <v>2008</v>
      </c>
      <c r="D26" s="5" t="s">
        <v>235</v>
      </c>
      <c r="E26" s="5" t="s">
        <v>594</v>
      </c>
      <c r="F26" s="5" t="s">
        <v>589</v>
      </c>
      <c r="G26" s="5"/>
      <c r="H26" s="5"/>
      <c r="I26" s="5"/>
      <c r="J26" s="5"/>
      <c r="K26" s="11"/>
      <c r="L26" s="5"/>
      <c r="M26" s="5"/>
      <c r="N26" s="5">
        <v>3</v>
      </c>
      <c r="O26" s="8" t="s">
        <v>590</v>
      </c>
      <c r="P26" s="5" t="s">
        <v>533</v>
      </c>
    </row>
    <row r="27" spans="1:16" ht="272" x14ac:dyDescent="0.2">
      <c r="A27" s="5" t="s">
        <v>43</v>
      </c>
      <c r="B27" s="5" t="s">
        <v>44</v>
      </c>
      <c r="C27" s="5">
        <v>2006</v>
      </c>
      <c r="D27" s="5" t="s">
        <v>46</v>
      </c>
      <c r="E27" s="5" t="s">
        <v>596</v>
      </c>
      <c r="F27" s="5" t="s">
        <v>45</v>
      </c>
      <c r="G27" s="7" t="s">
        <v>47</v>
      </c>
      <c r="H27" s="5" t="s">
        <v>551</v>
      </c>
      <c r="I27" s="5"/>
      <c r="J27" s="5"/>
      <c r="K27" s="11"/>
      <c r="L27" s="5"/>
      <c r="M27" s="5"/>
      <c r="N27" s="5">
        <v>2</v>
      </c>
      <c r="O27" s="8" t="s">
        <v>121</v>
      </c>
      <c r="P27" s="5" t="s">
        <v>533</v>
      </c>
    </row>
    <row r="28" spans="1:16" ht="409.6" x14ac:dyDescent="0.2">
      <c r="A28" s="5" t="s">
        <v>549</v>
      </c>
      <c r="B28" s="5" t="s">
        <v>76</v>
      </c>
      <c r="C28" s="5">
        <v>2005</v>
      </c>
      <c r="D28" s="5" t="s">
        <v>49</v>
      </c>
      <c r="E28" s="5" t="s">
        <v>594</v>
      </c>
      <c r="F28" s="5" t="s">
        <v>77</v>
      </c>
      <c r="G28" s="5" t="s">
        <v>78</v>
      </c>
      <c r="H28" s="5"/>
      <c r="I28" s="5"/>
      <c r="J28" s="5"/>
      <c r="K28" s="11"/>
      <c r="L28" s="5"/>
      <c r="M28" s="5"/>
      <c r="N28" s="5">
        <v>3</v>
      </c>
      <c r="O28" s="8" t="s">
        <v>130</v>
      </c>
      <c r="P28" s="5" t="s">
        <v>533</v>
      </c>
    </row>
    <row r="29" spans="1:16" ht="323" x14ac:dyDescent="0.2">
      <c r="A29" s="5" t="s">
        <v>563</v>
      </c>
      <c r="B29" s="5" t="s">
        <v>564</v>
      </c>
      <c r="C29" s="5">
        <v>2003</v>
      </c>
      <c r="D29" s="5" t="s">
        <v>593</v>
      </c>
      <c r="E29" s="5" t="s">
        <v>594</v>
      </c>
      <c r="F29" s="5" t="s">
        <v>565</v>
      </c>
      <c r="G29" s="5"/>
      <c r="H29" s="5"/>
      <c r="I29" s="5"/>
      <c r="J29" s="5"/>
      <c r="K29" s="11"/>
      <c r="L29" s="5"/>
      <c r="M29" s="5"/>
      <c r="N29" s="5">
        <v>1</v>
      </c>
      <c r="O29" s="8" t="s">
        <v>566</v>
      </c>
      <c r="P29" s="5" t="s">
        <v>533</v>
      </c>
    </row>
    <row r="30" spans="1:16" ht="409.6" x14ac:dyDescent="0.2">
      <c r="A30" s="5" t="s">
        <v>141</v>
      </c>
      <c r="B30" s="5" t="s">
        <v>79</v>
      </c>
      <c r="C30" s="5">
        <v>2002</v>
      </c>
      <c r="D30" s="5" t="s">
        <v>80</v>
      </c>
      <c r="E30" s="5" t="s">
        <v>594</v>
      </c>
      <c r="F30" s="5" t="s">
        <v>81</v>
      </c>
      <c r="G30" s="5"/>
      <c r="H30" s="5"/>
      <c r="I30" s="5"/>
      <c r="J30" s="5"/>
      <c r="K30" s="11"/>
      <c r="L30" s="5"/>
      <c r="M30" s="5"/>
      <c r="N30" s="5">
        <v>2</v>
      </c>
      <c r="O30" s="8" t="s">
        <v>131</v>
      </c>
      <c r="P30" s="5"/>
    </row>
    <row r="31" spans="1:16" ht="323" x14ac:dyDescent="0.2">
      <c r="A31" s="5" t="s">
        <v>499</v>
      </c>
      <c r="B31" s="5" t="s">
        <v>500</v>
      </c>
      <c r="C31" s="5">
        <v>2001</v>
      </c>
      <c r="D31" s="5" t="s">
        <v>501</v>
      </c>
      <c r="E31" s="5" t="s">
        <v>594</v>
      </c>
      <c r="F31" s="5" t="s">
        <v>502</v>
      </c>
      <c r="G31" s="5"/>
      <c r="H31" s="5"/>
      <c r="I31" s="5"/>
      <c r="J31" s="5"/>
      <c r="K31" s="11"/>
      <c r="L31" s="5"/>
      <c r="M31" s="5"/>
      <c r="N31" s="5">
        <v>2</v>
      </c>
      <c r="O31" s="8" t="s">
        <v>503</v>
      </c>
      <c r="P31" s="5" t="s">
        <v>533</v>
      </c>
    </row>
    <row r="32" spans="1:16" ht="289" x14ac:dyDescent="0.2">
      <c r="A32" s="5" t="s">
        <v>552</v>
      </c>
      <c r="B32" s="5" t="s">
        <v>74</v>
      </c>
      <c r="C32" s="5"/>
      <c r="D32" s="5"/>
      <c r="E32" s="5" t="s">
        <v>596</v>
      </c>
      <c r="F32" s="5" t="s">
        <v>75</v>
      </c>
      <c r="G32" s="5"/>
      <c r="H32" s="5"/>
      <c r="I32" s="5"/>
      <c r="J32" s="5"/>
      <c r="K32" s="11"/>
      <c r="L32" s="5"/>
      <c r="M32" s="5"/>
      <c r="N32" s="5">
        <v>1</v>
      </c>
      <c r="O32" s="8" t="s">
        <v>129</v>
      </c>
      <c r="P32" s="5"/>
    </row>
    <row r="33" spans="1:16" ht="238" x14ac:dyDescent="0.2">
      <c r="A33" s="5" t="s">
        <v>601</v>
      </c>
      <c r="B33" s="5" t="s">
        <v>602</v>
      </c>
      <c r="C33" s="5">
        <v>2006</v>
      </c>
      <c r="D33" s="5" t="s">
        <v>80</v>
      </c>
      <c r="E33" s="5" t="s">
        <v>594</v>
      </c>
      <c r="F33" s="5" t="s">
        <v>603</v>
      </c>
      <c r="G33" s="5"/>
      <c r="H33" s="5"/>
      <c r="I33" s="5"/>
      <c r="J33" s="5"/>
      <c r="K33" s="11"/>
      <c r="L33" s="5"/>
      <c r="M33" s="5"/>
      <c r="N33" s="5">
        <v>2</v>
      </c>
      <c r="O33" s="8" t="s">
        <v>604</v>
      </c>
      <c r="P33" s="5"/>
    </row>
    <row r="34" spans="1:16" ht="289" x14ac:dyDescent="0.2">
      <c r="A34" s="5" t="s">
        <v>605</v>
      </c>
      <c r="B34" s="5" t="s">
        <v>606</v>
      </c>
      <c r="C34" s="5">
        <v>2018</v>
      </c>
      <c r="D34" s="5" t="s">
        <v>511</v>
      </c>
      <c r="E34" s="5" t="s">
        <v>594</v>
      </c>
      <c r="F34" s="5" t="s">
        <v>607</v>
      </c>
      <c r="G34" s="5"/>
      <c r="H34" s="5"/>
      <c r="I34" s="5"/>
      <c r="J34" s="5"/>
      <c r="K34" s="11"/>
      <c r="L34" s="5"/>
      <c r="M34" s="5"/>
      <c r="N34" s="5">
        <v>2</v>
      </c>
      <c r="O34" s="8" t="s">
        <v>608</v>
      </c>
      <c r="P34" s="5"/>
    </row>
    <row r="35" spans="1:16" ht="409.6" x14ac:dyDescent="0.2">
      <c r="A35" s="5" t="s">
        <v>609</v>
      </c>
      <c r="B35" s="5" t="s">
        <v>610</v>
      </c>
      <c r="C35" s="5">
        <v>2005</v>
      </c>
      <c r="D35" s="5" t="s">
        <v>611</v>
      </c>
      <c r="E35" s="5" t="s">
        <v>594</v>
      </c>
      <c r="F35" s="5" t="s">
        <v>613</v>
      </c>
      <c r="G35" s="5"/>
      <c r="H35" s="5"/>
      <c r="I35" s="5"/>
      <c r="J35" s="5"/>
      <c r="K35" s="11"/>
      <c r="L35" s="5"/>
      <c r="M35" s="5"/>
      <c r="N35" s="5">
        <v>2</v>
      </c>
      <c r="O35" s="8" t="s">
        <v>612</v>
      </c>
      <c r="P35" s="5"/>
    </row>
    <row r="36" spans="1:16" ht="409.6" x14ac:dyDescent="0.2">
      <c r="A36" s="5" t="s">
        <v>614</v>
      </c>
      <c r="B36" s="5" t="s">
        <v>615</v>
      </c>
      <c r="C36" s="5">
        <v>2002</v>
      </c>
      <c r="D36" s="5" t="s">
        <v>616</v>
      </c>
      <c r="E36" s="5" t="s">
        <v>594</v>
      </c>
      <c r="F36" s="5" t="s">
        <v>617</v>
      </c>
      <c r="G36" s="5"/>
      <c r="H36" s="5"/>
      <c r="I36" s="5"/>
      <c r="J36" s="5"/>
      <c r="K36" s="11"/>
      <c r="L36" s="5"/>
      <c r="M36" s="5"/>
      <c r="N36" s="5">
        <v>1</v>
      </c>
      <c r="O36" s="8" t="s">
        <v>618</v>
      </c>
      <c r="P36" s="5"/>
    </row>
    <row r="37" spans="1:16" ht="388" x14ac:dyDescent="0.2">
      <c r="A37" s="5" t="s">
        <v>619</v>
      </c>
      <c r="B37" s="5" t="s">
        <v>620</v>
      </c>
      <c r="C37" s="5">
        <v>2006</v>
      </c>
      <c r="D37" s="5" t="s">
        <v>611</v>
      </c>
      <c r="E37" s="5" t="s">
        <v>594</v>
      </c>
      <c r="F37" s="5" t="s">
        <v>621</v>
      </c>
      <c r="G37" s="5"/>
      <c r="H37" s="5"/>
      <c r="I37" s="5"/>
      <c r="J37" s="5"/>
      <c r="K37" s="11"/>
      <c r="L37" s="5"/>
      <c r="M37" s="5"/>
      <c r="N37" s="5">
        <v>2</v>
      </c>
      <c r="O37" s="8" t="s">
        <v>622</v>
      </c>
      <c r="P37" s="5"/>
    </row>
    <row r="38" spans="1:16" ht="409.6" x14ac:dyDescent="0.2">
      <c r="A38" s="5" t="s">
        <v>855</v>
      </c>
      <c r="B38" s="5" t="s">
        <v>856</v>
      </c>
      <c r="C38" s="5">
        <v>2010</v>
      </c>
      <c r="D38" s="5" t="s">
        <v>80</v>
      </c>
      <c r="E38" s="5" t="s">
        <v>594</v>
      </c>
      <c r="F38" s="5" t="s">
        <v>857</v>
      </c>
      <c r="G38" s="5"/>
      <c r="H38" s="5"/>
      <c r="I38" s="5"/>
      <c r="J38" s="5"/>
      <c r="K38" s="11"/>
      <c r="L38" s="5"/>
      <c r="M38" s="5"/>
      <c r="N38" s="5"/>
      <c r="O38" s="8" t="s">
        <v>858</v>
      </c>
      <c r="P38" s="5"/>
    </row>
    <row r="39" spans="1:16" ht="204" x14ac:dyDescent="0.2">
      <c r="A39" s="5" t="s">
        <v>859</v>
      </c>
      <c r="B39" s="5" t="s">
        <v>860</v>
      </c>
      <c r="C39" s="5">
        <v>2007</v>
      </c>
      <c r="D39" s="5" t="s">
        <v>262</v>
      </c>
      <c r="E39" s="5" t="s">
        <v>594</v>
      </c>
      <c r="F39" s="5" t="s">
        <v>861</v>
      </c>
      <c r="G39" s="5"/>
      <c r="H39" s="5"/>
      <c r="I39" s="5"/>
      <c r="J39" s="5"/>
      <c r="K39" s="11"/>
      <c r="L39" s="5"/>
      <c r="M39" s="5"/>
      <c r="N39" s="5"/>
      <c r="O39" s="8" t="s">
        <v>862</v>
      </c>
      <c r="P39" s="5"/>
    </row>
    <row r="40" spans="1:16" ht="306" x14ac:dyDescent="0.2">
      <c r="A40" s="5" t="s">
        <v>863</v>
      </c>
      <c r="B40" s="5" t="s">
        <v>864</v>
      </c>
      <c r="C40" s="5">
        <v>2005</v>
      </c>
      <c r="D40" s="5" t="s">
        <v>80</v>
      </c>
      <c r="E40" s="5" t="s">
        <v>594</v>
      </c>
      <c r="F40" s="5" t="s">
        <v>865</v>
      </c>
      <c r="G40" s="5"/>
      <c r="H40" s="5"/>
      <c r="I40" s="5"/>
      <c r="J40" s="5"/>
      <c r="K40" s="11"/>
      <c r="L40" s="5"/>
      <c r="M40" s="5"/>
      <c r="N40" s="5"/>
      <c r="O40" s="8" t="s">
        <v>866</v>
      </c>
      <c r="P40" s="5"/>
    </row>
    <row r="41" spans="1:16" ht="119" x14ac:dyDescent="0.2">
      <c r="A41" s="5" t="s">
        <v>870</v>
      </c>
      <c r="B41" s="5" t="s">
        <v>868</v>
      </c>
      <c r="C41" s="32"/>
      <c r="D41" s="5" t="s">
        <v>867</v>
      </c>
      <c r="E41" s="5" t="s">
        <v>594</v>
      </c>
      <c r="F41" s="5" t="s">
        <v>869</v>
      </c>
      <c r="G41" s="5"/>
      <c r="H41" s="5"/>
      <c r="I41" s="5"/>
      <c r="J41" s="5"/>
      <c r="K41" s="33"/>
      <c r="L41" s="5"/>
      <c r="M41" s="5"/>
      <c r="N41" s="5"/>
      <c r="O41" s="8" t="s">
        <v>871</v>
      </c>
      <c r="P41" s="5"/>
    </row>
    <row r="42" spans="1:16" ht="119" x14ac:dyDescent="0.2">
      <c r="A42" s="5" t="s">
        <v>877</v>
      </c>
      <c r="B42" s="5" t="s">
        <v>878</v>
      </c>
      <c r="C42" s="32">
        <v>2015</v>
      </c>
      <c r="D42" s="5" t="s">
        <v>80</v>
      </c>
      <c r="E42" s="5" t="s">
        <v>594</v>
      </c>
      <c r="F42" s="5" t="s">
        <v>879</v>
      </c>
      <c r="G42" s="5"/>
      <c r="H42" s="5"/>
      <c r="I42" s="5"/>
      <c r="J42" s="5"/>
      <c r="K42" s="33"/>
      <c r="L42" s="5"/>
      <c r="M42" s="5"/>
      <c r="N42" s="5"/>
      <c r="O42" s="8" t="s">
        <v>880</v>
      </c>
      <c r="P42" s="5"/>
    </row>
    <row r="43" spans="1:16" x14ac:dyDescent="0.2">
      <c r="A43" s="5"/>
      <c r="B43" s="5"/>
      <c r="C43" s="32"/>
      <c r="D43" s="5"/>
      <c r="E43" s="5"/>
      <c r="F43" s="5"/>
      <c r="G43" s="5"/>
      <c r="H43" s="5"/>
      <c r="I43" s="5"/>
      <c r="J43" s="5"/>
      <c r="K43" s="33"/>
      <c r="L43" s="5"/>
      <c r="M43" s="5"/>
      <c r="N43" s="5"/>
      <c r="O43" s="5"/>
      <c r="P43" s="5"/>
    </row>
    <row r="44" spans="1:16" x14ac:dyDescent="0.2">
      <c r="A44" s="5"/>
      <c r="B44" s="5"/>
      <c r="C44" s="32"/>
      <c r="D44" s="5"/>
      <c r="E44" s="5"/>
      <c r="F44" s="5"/>
      <c r="G44" s="5"/>
      <c r="H44" s="5"/>
      <c r="I44" s="5"/>
      <c r="J44" s="5"/>
      <c r="K44" s="33"/>
      <c r="L44" s="5"/>
      <c r="M44" s="5"/>
      <c r="N44" s="5"/>
      <c r="O44" s="5"/>
      <c r="P44" s="5"/>
    </row>
    <row r="45" spans="1:16" x14ac:dyDescent="0.2">
      <c r="A45" s="5"/>
      <c r="B45" s="5"/>
      <c r="C45" s="32"/>
      <c r="D45" s="5"/>
      <c r="E45" s="5"/>
      <c r="F45" s="5"/>
      <c r="G45" s="5"/>
      <c r="H45" s="5"/>
      <c r="I45" s="5"/>
      <c r="J45" s="5"/>
      <c r="K45" s="33"/>
      <c r="L45" s="5"/>
      <c r="M45" s="5"/>
      <c r="N45" s="5"/>
      <c r="O45" s="5"/>
      <c r="P45" s="5"/>
    </row>
    <row r="46" spans="1:16" x14ac:dyDescent="0.2">
      <c r="A46" s="5"/>
      <c r="B46" s="5"/>
      <c r="C46" s="32"/>
      <c r="D46" s="5"/>
      <c r="E46" s="5"/>
      <c r="F46" s="5"/>
      <c r="G46" s="5"/>
      <c r="H46" s="5"/>
      <c r="I46" s="5"/>
      <c r="J46" s="5"/>
      <c r="K46" s="33"/>
      <c r="L46" s="5"/>
      <c r="M46" s="5"/>
      <c r="N46" s="5"/>
      <c r="O46" s="5"/>
      <c r="P46" s="5"/>
    </row>
    <row r="47" spans="1:16" x14ac:dyDescent="0.2">
      <c r="A47" s="5"/>
      <c r="B47" s="5"/>
      <c r="C47" s="32"/>
      <c r="D47" s="5"/>
      <c r="E47" s="5"/>
      <c r="F47" s="5"/>
      <c r="G47" s="5"/>
      <c r="H47" s="5"/>
      <c r="I47" s="5"/>
      <c r="J47" s="5"/>
      <c r="K47" s="33"/>
      <c r="L47" s="5"/>
      <c r="M47" s="5"/>
      <c r="N47" s="5"/>
      <c r="O47" s="5"/>
      <c r="P47" s="5"/>
    </row>
  </sheetData>
  <hyperlinks>
    <hyperlink ref="G18" r:id="rId1" xr:uid="{4D075623-F47A-C241-BA26-47F34E18DBE0}"/>
    <hyperlink ref="G5" r:id="rId2" xr:uid="{A599610C-8E28-FF46-AF97-F654E2FF8D0C}"/>
    <hyperlink ref="G13" r:id="rId3" xr:uid="{2BB80285-735B-8642-8B2F-DE3ECFBFB9D3}"/>
    <hyperlink ref="G6" r:id="rId4" xr:uid="{7E3F95FA-AA8F-6547-AFD7-99B62FC32261}"/>
    <hyperlink ref="G27" r:id="rId5" xr:uid="{52C87578-F7CD-0448-B122-43F0CF953442}"/>
    <hyperlink ref="G7" r:id="rId6" xr:uid="{F72867A8-36AE-7E49-ADC7-8BC86A725CC5}"/>
    <hyperlink ref="G11" r:id="rId7" xr:uid="{D69A8C58-0DEA-E044-9265-C6975A5B047F}"/>
    <hyperlink ref="G22" r:id="rId8" xr:uid="{C8EE0297-E77F-9C49-BE05-383255A44F3C}"/>
    <hyperlink ref="G8" r:id="rId9" xr:uid="{9247B1AB-9E42-384F-983F-69372B3F644F}"/>
    <hyperlink ref="G16" r:id="rId10" xr:uid="{F326DCE5-B04B-2446-88A1-47458E7B8FA7}"/>
    <hyperlink ref="G3" r:id="rId11" xr:uid="{3B3B1185-0313-EA43-A20E-A66F4E3C12C8}"/>
    <hyperlink ref="G14" r:id="rId12" xr:uid="{87FD19EA-2FF5-0A4E-B9F0-8BF4FAA2D4C8}"/>
    <hyperlink ref="O18" r:id="rId13" xr:uid="{62ABAC52-587B-F24B-A5F8-7B2442F7B793}"/>
    <hyperlink ref="O5" r:id="rId14" xr:uid="{D52B21D2-1870-3445-89FB-CB0DA674EA44}"/>
    <hyperlink ref="O13" r:id="rId15" xr:uid="{D8745F7E-73C3-0E44-9A2F-869DDF9B58BE}"/>
    <hyperlink ref="O2" r:id="rId16" xr:uid="{BF38B245-2341-844F-B8CC-942209E9FAE6}"/>
    <hyperlink ref="O15" r:id="rId17" xr:uid="{9AC937BC-870F-F942-A30D-275F5A55CD28}"/>
    <hyperlink ref="O23" r:id="rId18" xr:uid="{768E63B1-3426-2A4D-9675-00F8B1DED5D6}"/>
    <hyperlink ref="O6" r:id="rId19" xr:uid="{4CF68763-A4D3-CE4C-B3CE-EFF4C2E44BBC}"/>
    <hyperlink ref="O27" r:id="rId20" xr:uid="{043C7281-C851-DA44-896E-785E48CC5BF0}"/>
    <hyperlink ref="O7" r:id="rId21" xr:uid="{4B25B642-AB57-A948-9F1F-CE9FBB72552A}"/>
    <hyperlink ref="O25" r:id="rId22" xr:uid="{AE5B19D9-6FD8-3844-B2C3-393DE6E294BD}"/>
    <hyperlink ref="O20" r:id="rId23" xr:uid="{E503FFD0-0C6D-7B42-A7D3-B2A9369ADC3D}"/>
    <hyperlink ref="O12" r:id="rId24" xr:uid="{A821D349-5B20-DD4A-87B3-8EEEBCF1591A}"/>
    <hyperlink ref="O17" r:id="rId25" xr:uid="{E7C42ED7-6B2B-AA49-80AE-7DAB2961A75B}"/>
    <hyperlink ref="O32" r:id="rId26" xr:uid="{C3D6346C-3B62-6540-93A6-5587E45AA965}"/>
    <hyperlink ref="O30" r:id="rId27" xr:uid="{4D01A381-BDB6-A043-BB11-176654BE85BB}"/>
    <hyperlink ref="O8" r:id="rId28" xr:uid="{2F15E816-0090-0D42-BD60-08A4C005B5E7}"/>
    <hyperlink ref="O4" r:id="rId29" xr:uid="{EE3793CF-C275-6C4E-8397-9C0C5C1B2718}"/>
    <hyperlink ref="O16" r:id="rId30" xr:uid="{525A1821-814E-E744-AED3-27CE95DA83E3}"/>
    <hyperlink ref="O3" r:id="rId31" xr:uid="{8846EC74-255C-4548-AB9C-48723A3FAADB}"/>
    <hyperlink ref="O10" r:id="rId32" xr:uid="{44447FCA-1465-A14C-A316-A7A3FE766D04}"/>
    <hyperlink ref="O14" r:id="rId33" xr:uid="{D164B1C7-0E17-ED49-B3AA-8194BD8BD4B1}"/>
    <hyperlink ref="O21" r:id="rId34" xr:uid="{0EBAC3C5-5187-E24E-AD1D-B017F86CAA63}"/>
    <hyperlink ref="O28" r:id="rId35" xr:uid="{1E1BB8C5-3B47-7D40-9F70-F9CC342E7EF1}"/>
    <hyperlink ref="G19" r:id="rId36" xr:uid="{9D6FD438-E5D5-F248-A56D-46BB846C99A3}"/>
    <hyperlink ref="O19" r:id="rId37" xr:uid="{9DAB3A76-1857-A64E-AF97-FAA63B31D43B}"/>
    <hyperlink ref="O29" r:id="rId38" xr:uid="{8CC8A20F-060B-504C-8AD5-0BDD88A6A5D1}"/>
    <hyperlink ref="O31" r:id="rId39" xr:uid="{90C029BA-AD4A-B340-B468-A6D6B34352DF}"/>
    <hyperlink ref="O11" r:id="rId40" xr:uid="{B0DD1CAC-2599-0142-A54A-FA8C4F9EC4F9}"/>
    <hyperlink ref="O26" r:id="rId41" xr:uid="{72D9B6BC-C8EE-BA42-9E97-1F370FCFEDCA}"/>
    <hyperlink ref="O33" r:id="rId42" xr:uid="{E551D19A-9F24-9847-AB63-D4E03D19F007}"/>
    <hyperlink ref="O34" r:id="rId43" xr:uid="{36D428BA-B409-754F-A177-1C0215BA054D}"/>
    <hyperlink ref="O35" r:id="rId44" xr:uid="{F472CD50-7CE9-C344-972C-6F502714E7F5}"/>
    <hyperlink ref="O36" r:id="rId45" xr:uid="{C0B647A1-10C5-BA46-B92F-E1F17C6ADC7E}"/>
    <hyperlink ref="O37" r:id="rId46" xr:uid="{02E2DF65-E6DD-714D-B0DE-019E6AADC004}"/>
    <hyperlink ref="O38" r:id="rId47" xr:uid="{6D476616-2260-E248-80F2-FCDF3A55E8D3}"/>
    <hyperlink ref="O39" r:id="rId48" xr:uid="{C7D054F1-2F94-3E45-8CB4-548EF707FBAE}"/>
    <hyperlink ref="O40" r:id="rId49" xr:uid="{93E23DF4-8481-1340-B308-15974252E9AF}"/>
    <hyperlink ref="O41" r:id="rId50" xr:uid="{F9F3864F-E611-A346-88F0-7C256642A2FC}"/>
    <hyperlink ref="O42" r:id="rId51" xr:uid="{FF1C1552-26CB-F746-A6A3-53F6DB14C917}"/>
  </hyperlinks>
  <pageMargins left="0.7" right="0.7" top="0.75" bottom="0.75" header="0.3" footer="0.3"/>
  <tableParts count="1">
    <tablePart r:id="rId52"/>
  </tableParts>
  <extLst>
    <ext xmlns:x14="http://schemas.microsoft.com/office/spreadsheetml/2009/9/main" uri="{78C0D931-6437-407d-A8EE-F0AAD7539E65}">
      <x14:conditionalFormattings>
        <x14:conditionalFormatting xmlns:xm="http://schemas.microsoft.com/office/excel/2006/main">
          <x14:cfRule type="iconSet" priority="1" id="{68B94F98-76DF-5F48-95E9-3E52DA74853D}">
            <x14:iconSet iconSet="3Symbols" showValue="0" custom="1">
              <x14:cfvo type="percent">
                <xm:f>0</xm:f>
              </x14:cfvo>
              <x14:cfvo type="num" gte="0">
                <xm:f>0</xm:f>
              </x14:cfvo>
              <x14:cfvo type="num">
                <xm:f>1</xm:f>
              </x14:cfvo>
              <x14:cfIcon iconSet="3Symbols" iconId="0"/>
              <x14:cfIcon iconSet="NoIcons" iconId="0"/>
              <x14:cfIcon iconSet="3Symbols" iconId="2"/>
            </x14:iconSet>
          </x14:cfRule>
          <xm:sqref>K2:K1048576</xm:sqref>
        </x14:conditionalFormatting>
        <x14:conditionalFormatting xmlns:xm="http://schemas.microsoft.com/office/excel/2006/main">
          <x14:cfRule type="iconSet" priority="7" id="{BD05A43E-620D-864A-9EA6-D5EA9243105A}">
            <x14:iconSet iconSet="3Triangles" showValue="0">
              <x14:cfvo type="percent">
                <xm:f>0</xm:f>
              </x14:cfvo>
              <x14:cfvo type="num">
                <xm:f>2</xm:f>
              </x14:cfvo>
              <x14:cfvo type="num">
                <xm:f>3</xm:f>
              </x14:cfvo>
            </x14:iconSet>
          </x14:cfRule>
          <xm:sqref>N2:N47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A0252-737B-6F45-B63E-2E85D75AF59E}">
  <dimension ref="A1:L28"/>
  <sheetViews>
    <sheetView zoomScale="142" zoomScaleNormal="100" workbookViewId="0">
      <pane xSplit="1" ySplit="1" topLeftCell="B2" activePane="bottomRight" state="frozen"/>
      <selection pane="topRight" activeCell="B1" sqref="B1"/>
      <selection pane="bottomLeft" activeCell="A2" sqref="A2"/>
      <selection pane="bottomRight" sqref="A1:L1"/>
    </sheetView>
  </sheetViews>
  <sheetFormatPr baseColWidth="10" defaultRowHeight="16" x14ac:dyDescent="0.2"/>
  <cols>
    <col min="1" max="1" width="36.83203125" style="6" customWidth="1"/>
    <col min="2" max="2" width="28.1640625" customWidth="1"/>
    <col min="3" max="3" width="22.1640625" customWidth="1"/>
    <col min="4" max="5" width="18.1640625" customWidth="1"/>
    <col min="6" max="6" width="80.1640625" customWidth="1"/>
    <col min="7" max="7" width="29" customWidth="1"/>
    <col min="8" max="9" width="27" customWidth="1"/>
    <col min="10" max="10" width="12" customWidth="1"/>
    <col min="11" max="11" width="10.83203125" style="6"/>
  </cols>
  <sheetData>
    <row r="1" spans="1:12" ht="17" x14ac:dyDescent="0.2">
      <c r="A1" s="2" t="s">
        <v>13</v>
      </c>
      <c r="B1" s="1" t="s">
        <v>3</v>
      </c>
      <c r="C1" s="1" t="s">
        <v>4</v>
      </c>
      <c r="D1" s="1" t="s">
        <v>12</v>
      </c>
      <c r="E1" s="1" t="s">
        <v>595</v>
      </c>
      <c r="F1" s="1" t="s">
        <v>0</v>
      </c>
      <c r="G1" s="1" t="s">
        <v>11</v>
      </c>
      <c r="H1" s="1" t="s">
        <v>429</v>
      </c>
      <c r="I1" s="1" t="s">
        <v>430</v>
      </c>
      <c r="J1" s="1" t="s">
        <v>8</v>
      </c>
      <c r="K1" s="2" t="s">
        <v>113</v>
      </c>
      <c r="L1" t="s">
        <v>532</v>
      </c>
    </row>
    <row r="2" spans="1:12" s="1" customFormat="1" ht="409.6" x14ac:dyDescent="0.2">
      <c r="A2" s="5" t="s">
        <v>142</v>
      </c>
      <c r="B2" s="5" t="s">
        <v>143</v>
      </c>
      <c r="C2" s="5">
        <v>2025</v>
      </c>
      <c r="D2" s="5" t="s">
        <v>144</v>
      </c>
      <c r="E2" s="5" t="s">
        <v>594</v>
      </c>
      <c r="F2" s="5" t="s">
        <v>145</v>
      </c>
      <c r="G2" s="7" t="s">
        <v>146</v>
      </c>
      <c r="H2" s="5"/>
      <c r="I2" s="5"/>
      <c r="J2" s="5">
        <v>3</v>
      </c>
      <c r="K2" s="7" t="s">
        <v>147</v>
      </c>
      <c r="L2" s="5"/>
    </row>
    <row r="3" spans="1:12" s="1" customFormat="1" ht="356" x14ac:dyDescent="0.2">
      <c r="A3" s="5" t="s">
        <v>148</v>
      </c>
      <c r="B3" s="5" t="s">
        <v>149</v>
      </c>
      <c r="C3" s="5">
        <v>2025</v>
      </c>
      <c r="D3" s="5" t="s">
        <v>150</v>
      </c>
      <c r="E3" s="5" t="s">
        <v>594</v>
      </c>
      <c r="F3" s="5" t="s">
        <v>151</v>
      </c>
      <c r="G3" s="8" t="s">
        <v>152</v>
      </c>
      <c r="H3" s="5"/>
      <c r="I3" s="5"/>
      <c r="J3" s="5">
        <v>3</v>
      </c>
      <c r="K3" s="8" t="s">
        <v>153</v>
      </c>
      <c r="L3" s="5" t="s">
        <v>533</v>
      </c>
    </row>
    <row r="4" spans="1:12" ht="136" x14ac:dyDescent="0.2">
      <c r="A4" s="5" t="s">
        <v>154</v>
      </c>
      <c r="B4" s="5" t="s">
        <v>156</v>
      </c>
      <c r="C4" s="5">
        <v>2025</v>
      </c>
      <c r="D4" s="5" t="s">
        <v>20</v>
      </c>
      <c r="E4" s="5" t="s">
        <v>596</v>
      </c>
      <c r="F4" s="5" t="s">
        <v>155</v>
      </c>
      <c r="G4" s="5"/>
      <c r="H4" s="5" t="s">
        <v>514</v>
      </c>
      <c r="I4" s="5"/>
      <c r="J4" s="5">
        <v>2</v>
      </c>
      <c r="K4" s="8" t="s">
        <v>157</v>
      </c>
      <c r="L4" s="5"/>
    </row>
    <row r="5" spans="1:12" ht="409.6" x14ac:dyDescent="0.2">
      <c r="A5" s="5" t="s">
        <v>163</v>
      </c>
      <c r="B5" s="5" t="s">
        <v>164</v>
      </c>
      <c r="C5" s="5">
        <v>2024</v>
      </c>
      <c r="D5" s="5" t="s">
        <v>165</v>
      </c>
      <c r="E5" s="5" t="s">
        <v>594</v>
      </c>
      <c r="F5" s="5" t="s">
        <v>166</v>
      </c>
      <c r="G5" s="8" t="s">
        <v>167</v>
      </c>
      <c r="H5" s="5"/>
      <c r="I5" s="5"/>
      <c r="J5" s="5">
        <v>3</v>
      </c>
      <c r="K5" s="8" t="s">
        <v>168</v>
      </c>
      <c r="L5" s="5" t="s">
        <v>533</v>
      </c>
    </row>
    <row r="6" spans="1:12" ht="289" x14ac:dyDescent="0.2">
      <c r="A6" s="5" t="s">
        <v>571</v>
      </c>
      <c r="B6" s="5" t="s">
        <v>572</v>
      </c>
      <c r="C6" s="5">
        <v>2024</v>
      </c>
      <c r="D6" s="5"/>
      <c r="E6" s="5" t="s">
        <v>596</v>
      </c>
      <c r="F6" s="5" t="s">
        <v>573</v>
      </c>
      <c r="G6" s="5"/>
      <c r="H6" s="5"/>
      <c r="I6" s="5"/>
      <c r="J6" s="5">
        <v>2</v>
      </c>
      <c r="K6" s="8" t="s">
        <v>574</v>
      </c>
      <c r="L6" s="5"/>
    </row>
    <row r="7" spans="1:12" ht="404" x14ac:dyDescent="0.2">
      <c r="A7" s="5" t="s">
        <v>158</v>
      </c>
      <c r="B7" s="5" t="s">
        <v>159</v>
      </c>
      <c r="C7" s="5">
        <v>2024</v>
      </c>
      <c r="D7" s="5" t="s">
        <v>160</v>
      </c>
      <c r="E7" s="5" t="s">
        <v>600</v>
      </c>
      <c r="F7" s="5" t="s">
        <v>161</v>
      </c>
      <c r="G7" s="5"/>
      <c r="H7" s="5"/>
      <c r="I7" s="5"/>
      <c r="J7" s="5">
        <v>1</v>
      </c>
      <c r="K7" s="8" t="s">
        <v>162</v>
      </c>
      <c r="L7" s="5"/>
    </row>
    <row r="8" spans="1:12" ht="372" x14ac:dyDescent="0.2">
      <c r="A8" s="5" t="s">
        <v>169</v>
      </c>
      <c r="B8" s="5" t="s">
        <v>170</v>
      </c>
      <c r="C8" s="5">
        <v>2023</v>
      </c>
      <c r="D8" s="5" t="s">
        <v>171</v>
      </c>
      <c r="E8" s="5" t="s">
        <v>596</v>
      </c>
      <c r="F8" s="5" t="s">
        <v>172</v>
      </c>
      <c r="G8" s="8" t="s">
        <v>173</v>
      </c>
      <c r="H8" s="5"/>
      <c r="I8" s="5"/>
      <c r="J8" s="5">
        <v>3</v>
      </c>
      <c r="K8" s="8" t="s">
        <v>174</v>
      </c>
      <c r="L8" s="5" t="s">
        <v>533</v>
      </c>
    </row>
    <row r="9" spans="1:12" ht="323" x14ac:dyDescent="0.2">
      <c r="A9" s="5" t="s">
        <v>175</v>
      </c>
      <c r="B9" s="5" t="s">
        <v>176</v>
      </c>
      <c r="C9" s="5">
        <v>2023</v>
      </c>
      <c r="D9" s="5" t="s">
        <v>88</v>
      </c>
      <c r="E9" s="5" t="s">
        <v>594</v>
      </c>
      <c r="F9" s="5" t="s">
        <v>177</v>
      </c>
      <c r="G9" s="8" t="s">
        <v>178</v>
      </c>
      <c r="H9" s="5"/>
      <c r="I9" s="5"/>
      <c r="J9" s="5">
        <v>3</v>
      </c>
      <c r="K9" s="8" t="s">
        <v>179</v>
      </c>
      <c r="L9" s="5"/>
    </row>
    <row r="10" spans="1:12" ht="356" x14ac:dyDescent="0.2">
      <c r="A10" s="5" t="s">
        <v>180</v>
      </c>
      <c r="B10" s="5" t="s">
        <v>181</v>
      </c>
      <c r="C10" s="5">
        <v>2023</v>
      </c>
      <c r="D10" s="5" t="s">
        <v>97</v>
      </c>
      <c r="E10" s="5" t="s">
        <v>594</v>
      </c>
      <c r="F10" s="5" t="s">
        <v>182</v>
      </c>
      <c r="G10" s="8" t="s">
        <v>183</v>
      </c>
      <c r="H10" s="5"/>
      <c r="I10" s="5"/>
      <c r="J10" s="5">
        <v>3</v>
      </c>
      <c r="K10" s="5" t="s">
        <v>184</v>
      </c>
      <c r="L10" s="5" t="s">
        <v>533</v>
      </c>
    </row>
    <row r="11" spans="1:12" ht="409.6" x14ac:dyDescent="0.2">
      <c r="A11" s="5" t="s">
        <v>185</v>
      </c>
      <c r="B11" s="5" t="s">
        <v>186</v>
      </c>
      <c r="C11" s="5">
        <v>2023</v>
      </c>
      <c r="D11" s="5"/>
      <c r="E11" s="5" t="s">
        <v>596</v>
      </c>
      <c r="F11" s="5" t="s">
        <v>187</v>
      </c>
      <c r="G11" s="5"/>
      <c r="H11" s="5"/>
      <c r="I11" s="5"/>
      <c r="J11" s="5">
        <v>2</v>
      </c>
      <c r="K11" s="8" t="s">
        <v>188</v>
      </c>
      <c r="L11" s="5"/>
    </row>
    <row r="12" spans="1:12" ht="409.6" x14ac:dyDescent="0.2">
      <c r="A12" s="5" t="s">
        <v>189</v>
      </c>
      <c r="B12" s="5" t="s">
        <v>190</v>
      </c>
      <c r="C12" s="5">
        <v>2022</v>
      </c>
      <c r="D12" s="5" t="s">
        <v>191</v>
      </c>
      <c r="E12" s="5" t="s">
        <v>596</v>
      </c>
      <c r="F12" s="5" t="s">
        <v>192</v>
      </c>
      <c r="G12" s="5"/>
      <c r="H12" s="5"/>
      <c r="I12" s="5"/>
      <c r="J12" s="5">
        <v>1</v>
      </c>
      <c r="K12" s="8" t="s">
        <v>193</v>
      </c>
      <c r="L12" s="5"/>
    </row>
    <row r="13" spans="1:12" ht="409.6" x14ac:dyDescent="0.2">
      <c r="A13" s="5" t="s">
        <v>194</v>
      </c>
      <c r="B13" s="5" t="s">
        <v>195</v>
      </c>
      <c r="C13" s="5">
        <v>2021</v>
      </c>
      <c r="D13" s="5" t="s">
        <v>196</v>
      </c>
      <c r="E13" s="5" t="s">
        <v>594</v>
      </c>
      <c r="F13" s="5" t="s">
        <v>197</v>
      </c>
      <c r="G13" s="8" t="s">
        <v>198</v>
      </c>
      <c r="H13" s="5"/>
      <c r="I13" s="5"/>
      <c r="J13" s="5">
        <v>3</v>
      </c>
      <c r="K13" s="8" t="s">
        <v>199</v>
      </c>
      <c r="L13" s="5" t="s">
        <v>533</v>
      </c>
    </row>
    <row r="14" spans="1:12" ht="221" x14ac:dyDescent="0.2">
      <c r="A14" s="5" t="s">
        <v>316</v>
      </c>
      <c r="B14" s="5" t="s">
        <v>317</v>
      </c>
      <c r="C14" s="5">
        <v>2021</v>
      </c>
      <c r="D14" s="5" t="s">
        <v>319</v>
      </c>
      <c r="E14" s="5" t="s">
        <v>596</v>
      </c>
      <c r="F14" s="5" t="s">
        <v>318</v>
      </c>
      <c r="G14" s="8" t="s">
        <v>320</v>
      </c>
      <c r="H14" s="5"/>
      <c r="I14" s="5"/>
      <c r="J14" s="5">
        <v>3</v>
      </c>
      <c r="K14" s="8" t="s">
        <v>321</v>
      </c>
      <c r="L14" s="5" t="s">
        <v>533</v>
      </c>
    </row>
    <row r="15" spans="1:12" ht="204" x14ac:dyDescent="0.2">
      <c r="A15" s="5" t="s">
        <v>206</v>
      </c>
      <c r="B15" s="5" t="s">
        <v>207</v>
      </c>
      <c r="C15" s="5">
        <v>2021</v>
      </c>
      <c r="D15" s="5" t="s">
        <v>171</v>
      </c>
      <c r="E15" s="5" t="s">
        <v>596</v>
      </c>
      <c r="F15" s="5" t="s">
        <v>208</v>
      </c>
      <c r="G15" s="8" t="s">
        <v>209</v>
      </c>
      <c r="H15" s="5"/>
      <c r="I15" s="5"/>
      <c r="J15" s="5">
        <v>3</v>
      </c>
      <c r="K15" s="8" t="s">
        <v>210</v>
      </c>
      <c r="L15" s="5" t="s">
        <v>533</v>
      </c>
    </row>
    <row r="16" spans="1:12" ht="356" x14ac:dyDescent="0.2">
      <c r="A16" s="5" t="s">
        <v>200</v>
      </c>
      <c r="B16" s="5" t="s">
        <v>201</v>
      </c>
      <c r="C16" s="5">
        <v>2021</v>
      </c>
      <c r="D16" s="5" t="s">
        <v>202</v>
      </c>
      <c r="E16" s="5" t="s">
        <v>596</v>
      </c>
      <c r="F16" s="5" t="s">
        <v>203</v>
      </c>
      <c r="G16" s="8" t="s">
        <v>204</v>
      </c>
      <c r="H16" s="5"/>
      <c r="I16" s="5"/>
      <c r="J16" s="5">
        <v>2</v>
      </c>
      <c r="K16" s="8" t="s">
        <v>205</v>
      </c>
      <c r="L16" s="5"/>
    </row>
    <row r="17" spans="1:12" ht="388" x14ac:dyDescent="0.2">
      <c r="A17" s="5" t="s">
        <v>211</v>
      </c>
      <c r="B17" s="5" t="s">
        <v>212</v>
      </c>
      <c r="C17" s="5">
        <v>2021</v>
      </c>
      <c r="D17" s="5"/>
      <c r="E17" s="5" t="s">
        <v>596</v>
      </c>
      <c r="F17" s="5" t="s">
        <v>213</v>
      </c>
      <c r="G17" s="5"/>
      <c r="H17" s="5"/>
      <c r="I17" s="5"/>
      <c r="J17" s="5">
        <v>2</v>
      </c>
      <c r="K17" s="8" t="s">
        <v>214</v>
      </c>
      <c r="L17" s="5"/>
    </row>
    <row r="18" spans="1:12" ht="356" x14ac:dyDescent="0.2">
      <c r="A18" s="5" t="s">
        <v>305</v>
      </c>
      <c r="B18" s="5" t="s">
        <v>306</v>
      </c>
      <c r="C18" s="5">
        <v>2020</v>
      </c>
      <c r="D18" s="5" t="s">
        <v>307</v>
      </c>
      <c r="E18" s="5" t="s">
        <v>594</v>
      </c>
      <c r="F18" s="5" t="s">
        <v>308</v>
      </c>
      <c r="G18" s="8" t="s">
        <v>309</v>
      </c>
      <c r="H18" s="5"/>
      <c r="I18" s="5"/>
      <c r="J18" s="5">
        <v>3</v>
      </c>
      <c r="K18" s="8" t="s">
        <v>310</v>
      </c>
      <c r="L18" s="5"/>
    </row>
    <row r="19" spans="1:12" ht="356" x14ac:dyDescent="0.2">
      <c r="A19" s="5" t="s">
        <v>311</v>
      </c>
      <c r="B19" s="5" t="s">
        <v>312</v>
      </c>
      <c r="C19" s="5">
        <v>2020</v>
      </c>
      <c r="D19" s="5" t="s">
        <v>290</v>
      </c>
      <c r="E19" s="5" t="s">
        <v>594</v>
      </c>
      <c r="F19" s="5" t="s">
        <v>313</v>
      </c>
      <c r="G19" s="8" t="s">
        <v>314</v>
      </c>
      <c r="H19" s="5"/>
      <c r="I19" s="5"/>
      <c r="J19" s="5">
        <v>2</v>
      </c>
      <c r="K19" s="8" t="s">
        <v>315</v>
      </c>
      <c r="L19" s="5" t="s">
        <v>533</v>
      </c>
    </row>
    <row r="20" spans="1:12" ht="221" x14ac:dyDescent="0.2">
      <c r="A20" s="5" t="s">
        <v>300</v>
      </c>
      <c r="B20" s="5" t="s">
        <v>304</v>
      </c>
      <c r="C20" s="5">
        <v>2020</v>
      </c>
      <c r="D20" s="5" t="s">
        <v>301</v>
      </c>
      <c r="E20" s="5" t="s">
        <v>596</v>
      </c>
      <c r="F20" s="5" t="s">
        <v>302</v>
      </c>
      <c r="G20" s="5"/>
      <c r="H20" s="5"/>
      <c r="I20" s="5"/>
      <c r="J20" s="5">
        <v>1</v>
      </c>
      <c r="K20" s="5" t="s">
        <v>303</v>
      </c>
      <c r="L20" s="5"/>
    </row>
    <row r="21" spans="1:12" ht="409.6" x14ac:dyDescent="0.2">
      <c r="A21" s="5" t="s">
        <v>221</v>
      </c>
      <c r="B21" s="5" t="s">
        <v>222</v>
      </c>
      <c r="C21" s="5">
        <v>2019</v>
      </c>
      <c r="D21" s="5" t="s">
        <v>223</v>
      </c>
      <c r="E21" s="5" t="s">
        <v>596</v>
      </c>
      <c r="F21" s="5" t="s">
        <v>225</v>
      </c>
      <c r="G21" s="5" t="s">
        <v>224</v>
      </c>
      <c r="H21" s="5"/>
      <c r="I21" s="5"/>
      <c r="J21" s="5">
        <v>3</v>
      </c>
      <c r="K21" s="8" t="s">
        <v>226</v>
      </c>
      <c r="L21" s="5" t="s">
        <v>533</v>
      </c>
    </row>
    <row r="22" spans="1:12" ht="340" x14ac:dyDescent="0.2">
      <c r="A22" s="5" t="s">
        <v>215</v>
      </c>
      <c r="B22" s="5" t="s">
        <v>216</v>
      </c>
      <c r="C22" s="5">
        <v>2019</v>
      </c>
      <c r="D22" s="5" t="s">
        <v>217</v>
      </c>
      <c r="E22" s="5" t="s">
        <v>596</v>
      </c>
      <c r="F22" s="5" t="s">
        <v>218</v>
      </c>
      <c r="G22" s="8" t="s">
        <v>219</v>
      </c>
      <c r="H22" s="5"/>
      <c r="I22" s="5"/>
      <c r="J22" s="5">
        <v>2</v>
      </c>
      <c r="K22" s="8" t="s">
        <v>220</v>
      </c>
      <c r="L22" s="5"/>
    </row>
    <row r="23" spans="1:12" ht="409.6" x14ac:dyDescent="0.2">
      <c r="A23" s="5" t="s">
        <v>294</v>
      </c>
      <c r="B23" s="5" t="s">
        <v>295</v>
      </c>
      <c r="C23" s="5">
        <v>2019</v>
      </c>
      <c r="D23" s="5" t="s">
        <v>296</v>
      </c>
      <c r="E23" s="5" t="s">
        <v>594</v>
      </c>
      <c r="F23" s="5" t="s">
        <v>297</v>
      </c>
      <c r="G23" s="5" t="s">
        <v>298</v>
      </c>
      <c r="H23" s="5"/>
      <c r="I23" s="5"/>
      <c r="J23" s="5">
        <v>2</v>
      </c>
      <c r="K23" s="8" t="s">
        <v>299</v>
      </c>
      <c r="L23" s="5"/>
    </row>
    <row r="24" spans="1:12" ht="221" x14ac:dyDescent="0.2">
      <c r="A24" s="5" t="s">
        <v>282</v>
      </c>
      <c r="B24" s="5" t="s">
        <v>284</v>
      </c>
      <c r="C24" s="5">
        <v>2019</v>
      </c>
      <c r="D24" s="5" t="s">
        <v>283</v>
      </c>
      <c r="E24" s="5" t="s">
        <v>596</v>
      </c>
      <c r="F24" s="5" t="s">
        <v>285</v>
      </c>
      <c r="G24" s="5" t="s">
        <v>286</v>
      </c>
      <c r="H24" s="5"/>
      <c r="I24" s="5"/>
      <c r="J24" s="5">
        <v>1</v>
      </c>
      <c r="K24" s="8" t="s">
        <v>287</v>
      </c>
      <c r="L24" s="5"/>
    </row>
    <row r="25" spans="1:12" ht="136" x14ac:dyDescent="0.2">
      <c r="A25" s="5" t="s">
        <v>288</v>
      </c>
      <c r="B25" s="5" t="s">
        <v>289</v>
      </c>
      <c r="C25" s="5">
        <v>2019</v>
      </c>
      <c r="D25" s="5" t="s">
        <v>290</v>
      </c>
      <c r="E25" s="5" t="s">
        <v>594</v>
      </c>
      <c r="F25" s="5" t="s">
        <v>291</v>
      </c>
      <c r="G25" s="8" t="s">
        <v>292</v>
      </c>
      <c r="H25" s="5"/>
      <c r="I25" s="5"/>
      <c r="J25" s="5">
        <v>2</v>
      </c>
      <c r="K25" s="8" t="s">
        <v>293</v>
      </c>
      <c r="L25" s="5" t="s">
        <v>533</v>
      </c>
    </row>
    <row r="26" spans="1:12" ht="255" x14ac:dyDescent="0.2">
      <c r="A26" s="5" t="s">
        <v>276</v>
      </c>
      <c r="B26" s="5" t="s">
        <v>277</v>
      </c>
      <c r="C26" s="5">
        <v>2018</v>
      </c>
      <c r="D26" s="5" t="s">
        <v>278</v>
      </c>
      <c r="E26" s="5"/>
      <c r="F26" s="5" t="s">
        <v>279</v>
      </c>
      <c r="G26" s="5" t="s">
        <v>280</v>
      </c>
      <c r="H26" s="5"/>
      <c r="I26" s="5"/>
      <c r="J26" s="5">
        <v>2</v>
      </c>
      <c r="K26" s="5" t="s">
        <v>281</v>
      </c>
      <c r="L26" s="5"/>
    </row>
    <row r="27" spans="1:12" ht="289" x14ac:dyDescent="0.2">
      <c r="A27" s="5" t="s">
        <v>270</v>
      </c>
      <c r="B27" s="5" t="s">
        <v>271</v>
      </c>
      <c r="C27" s="5">
        <v>2018</v>
      </c>
      <c r="D27" s="5" t="s">
        <v>272</v>
      </c>
      <c r="E27" s="5" t="s">
        <v>598</v>
      </c>
      <c r="F27" s="5" t="s">
        <v>273</v>
      </c>
      <c r="G27" s="5" t="s">
        <v>274</v>
      </c>
      <c r="H27" s="5"/>
      <c r="I27" s="5"/>
      <c r="J27" s="5">
        <v>1</v>
      </c>
      <c r="K27" s="5" t="s">
        <v>275</v>
      </c>
      <c r="L27" s="5"/>
    </row>
    <row r="28" spans="1:12" ht="388" x14ac:dyDescent="0.2">
      <c r="A28" s="5" t="s">
        <v>227</v>
      </c>
      <c r="B28" s="5" t="s">
        <v>228</v>
      </c>
      <c r="C28" s="5">
        <v>2016</v>
      </c>
      <c r="D28" s="5" t="s">
        <v>229</v>
      </c>
      <c r="E28" s="5"/>
      <c r="F28" s="5" t="s">
        <v>230</v>
      </c>
      <c r="G28" s="5" t="s">
        <v>231</v>
      </c>
      <c r="H28" s="5"/>
      <c r="I28" s="5"/>
      <c r="J28" s="5">
        <v>1</v>
      </c>
      <c r="K28" s="8" t="s">
        <v>232</v>
      </c>
      <c r="L28" s="5"/>
    </row>
  </sheetData>
  <hyperlinks>
    <hyperlink ref="G2" r:id="rId1" xr:uid="{41844EDA-E4F4-674C-9A6A-65AB68637379}"/>
    <hyperlink ref="K2" r:id="rId2" xr:uid="{8DBDFCC8-B058-C743-8BC8-07C2B1FABE92}"/>
    <hyperlink ref="G3" r:id="rId3" xr:uid="{3DFFFDAA-430C-5B41-977E-F9AED595CBD9}"/>
    <hyperlink ref="K3" r:id="rId4" xr:uid="{ACBE3EF4-10A1-FB49-AB9A-D2CCFD4875EA}"/>
    <hyperlink ref="K4" r:id="rId5" xr:uid="{CDB74F28-AE30-A140-9EFE-E3F5AD62DE1A}"/>
    <hyperlink ref="K7" r:id="rId6" xr:uid="{6E64F81D-4704-7343-9FF8-48A3D30C0423}"/>
    <hyperlink ref="G5" r:id="rId7" xr:uid="{ED6D0D62-B1B6-6F4F-9813-82054546B603}"/>
    <hyperlink ref="K5" r:id="rId8" xr:uid="{0EB93E0B-9D46-FC4D-B044-EB430C3C6B68}"/>
    <hyperlink ref="G8" r:id="rId9" xr:uid="{840A6BB7-DDDD-FE4C-AC68-91A7487ACEED}"/>
    <hyperlink ref="K8" r:id="rId10" xr:uid="{E0C3C410-4E4F-FA49-AA78-94CC56559C3B}"/>
    <hyperlink ref="G9" r:id="rId11" xr:uid="{0CD59149-5DC9-614A-8651-CAE436870C27}"/>
    <hyperlink ref="K9" r:id="rId12" xr:uid="{FC151FBF-3748-174E-B9F5-F31C0EA261F5}"/>
    <hyperlink ref="G10" r:id="rId13" xr:uid="{E21B0A3F-0C7F-F945-995E-8BAA4A6546AE}"/>
    <hyperlink ref="K11" r:id="rId14" xr:uid="{63C3D81C-14DE-B044-9202-C3545F877B7F}"/>
    <hyperlink ref="K12" r:id="rId15" xr:uid="{A71C13AA-855B-854F-B302-2E3B38105D55}"/>
    <hyperlink ref="G13" r:id="rId16" xr:uid="{3A2199FE-1043-A448-92A5-4BBA80D73A67}"/>
    <hyperlink ref="K13" r:id="rId17" xr:uid="{282AB198-5BBD-FD42-8933-61F6C0020884}"/>
    <hyperlink ref="G16" r:id="rId18" xr:uid="{46299554-52D4-554E-83E4-2F3DE791D7E1}"/>
    <hyperlink ref="K16" r:id="rId19" xr:uid="{1F230988-6ADE-1F45-BCD0-2BDA8EAD6976}"/>
    <hyperlink ref="G15" r:id="rId20" xr:uid="{5A0D2D79-1B8F-6D4F-B3BE-6A3D4C377BD1}"/>
    <hyperlink ref="K15" r:id="rId21" xr:uid="{963917D3-4EAD-0247-B9DC-B2FA174E2F0F}"/>
    <hyperlink ref="K17" r:id="rId22" xr:uid="{7F7608D2-C345-A742-BF17-0ACC05DAB3E7}"/>
    <hyperlink ref="G22" r:id="rId23" xr:uid="{B1AFA61A-E7E8-EA46-9433-1467FD35BFB9}"/>
    <hyperlink ref="K22" r:id="rId24" xr:uid="{1A7B98FF-0BEE-F344-8487-8836E8183F32}"/>
    <hyperlink ref="K21" r:id="rId25" xr:uid="{B9BFEE4D-CD2C-964F-8075-639ACE98DEA8}"/>
    <hyperlink ref="K28" r:id="rId26" xr:uid="{33662CFF-90E5-7A45-AC52-3E7DE5780F24}"/>
    <hyperlink ref="G25" r:id="rId27" xr:uid="{E9B74A75-CD90-104E-B944-FC346AD3E6B5}"/>
    <hyperlink ref="K25" r:id="rId28" xr:uid="{C928932D-30EB-B54C-984F-458D9D21A8C6}"/>
    <hyperlink ref="K23" r:id="rId29" xr:uid="{B6B2C1F9-07BE-9C43-8640-E4085A454C3A}"/>
    <hyperlink ref="G18" r:id="rId30" xr:uid="{252FB819-6F2D-6946-933A-DA5ADF1D30D8}"/>
    <hyperlink ref="K18" r:id="rId31" xr:uid="{01E1A17F-05E2-FF4F-B85D-AC2C67A3C6B8}"/>
    <hyperlink ref="G19" r:id="rId32" xr:uid="{716164D8-ECA0-7244-B716-6A3FAE16EC4E}"/>
    <hyperlink ref="K19" r:id="rId33" xr:uid="{F4D9F078-2A3B-8741-B867-39F310AD9484}"/>
    <hyperlink ref="G14" r:id="rId34" xr:uid="{FF24D29D-7F86-2146-A17A-952B73C620D3}"/>
    <hyperlink ref="K14" r:id="rId35" xr:uid="{B452A57E-1E2B-5447-9723-6D68D82F4FAF}"/>
    <hyperlink ref="K24" r:id="rId36" xr:uid="{F76E6AC2-6CFF-534D-9B88-F65432643D98}"/>
    <hyperlink ref="K6" r:id="rId37" xr:uid="{09BBCFA5-A543-7F4A-91A8-ECB4B8ACBE31}"/>
  </hyperlinks>
  <pageMargins left="0.7" right="0.7" top="0.75" bottom="0.75" header="0.3" footer="0.3"/>
  <pageSetup orientation="portrait" horizontalDpi="0" verticalDpi="0"/>
  <tableParts count="1">
    <tablePart r:id="rId38"/>
  </tableParts>
  <extLst>
    <ext xmlns:x14="http://schemas.microsoft.com/office/spreadsheetml/2009/9/main" uri="{78C0D931-6437-407d-A8EE-F0AAD7539E65}">
      <x14:conditionalFormattings>
        <x14:conditionalFormatting xmlns:xm="http://schemas.microsoft.com/office/excel/2006/main">
          <x14:cfRule type="iconSet" priority="2" id="{E44C6593-212C-1D4A-800F-8B8D49E87E03}">
            <x14:iconSet iconSet="3Triangles" showValue="0">
              <x14:cfvo type="percent">
                <xm:f>0</xm:f>
              </x14:cfvo>
              <x14:cfvo type="num">
                <xm:f>2</xm:f>
              </x14:cfvo>
              <x14:cfvo type="num">
                <xm:f>3</xm:f>
              </x14:cfvo>
            </x14:iconSet>
          </x14:cfRule>
          <xm:sqref>J2:J28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B0C1-D456-264E-8BF7-AD0468881253}">
  <dimension ref="A1:I51"/>
  <sheetViews>
    <sheetView zoomScale="125" workbookViewId="0">
      <pane xSplit="3" ySplit="1" topLeftCell="G45" activePane="bottomRight" state="frozen"/>
      <selection pane="topRight" activeCell="D1" sqref="D1"/>
      <selection pane="bottomLeft" activeCell="A2" sqref="A2"/>
      <selection pane="bottomRight" activeCell="H46" sqref="H46"/>
    </sheetView>
  </sheetViews>
  <sheetFormatPr baseColWidth="10" defaultRowHeight="16" x14ac:dyDescent="0.2"/>
  <cols>
    <col min="1" max="1" width="34.83203125" customWidth="1"/>
    <col min="2" max="2" width="20" customWidth="1"/>
    <col min="3" max="3" width="22.1640625" customWidth="1"/>
    <col min="4" max="4" width="25.33203125" customWidth="1"/>
    <col min="5" max="5" width="19.1640625" customWidth="1"/>
    <col min="6" max="6" width="19.5" style="6" bestFit="1" customWidth="1"/>
    <col min="7" max="7" width="82.1640625" customWidth="1"/>
    <col min="8" max="8" width="26" customWidth="1"/>
  </cols>
  <sheetData>
    <row r="1" spans="1:9" ht="17" x14ac:dyDescent="0.2">
      <c r="A1" s="2" t="s">
        <v>13</v>
      </c>
      <c r="B1" s="2" t="s">
        <v>707</v>
      </c>
      <c r="C1" s="1" t="s">
        <v>3</v>
      </c>
      <c r="D1" s="1" t="s">
        <v>4</v>
      </c>
      <c r="E1" s="1" t="s">
        <v>12</v>
      </c>
      <c r="F1" s="1" t="s">
        <v>595</v>
      </c>
      <c r="G1" s="2" t="s">
        <v>0</v>
      </c>
      <c r="H1" s="2" t="s">
        <v>113</v>
      </c>
      <c r="I1" t="s">
        <v>532</v>
      </c>
    </row>
    <row r="2" spans="1:9" ht="112" x14ac:dyDescent="0.2">
      <c r="A2" s="25" t="s">
        <v>626</v>
      </c>
      <c r="B2" s="25" t="s">
        <v>708</v>
      </c>
      <c r="C2" s="25" t="s">
        <v>627</v>
      </c>
      <c r="D2" s="25">
        <v>2001</v>
      </c>
      <c r="E2" s="25" t="s">
        <v>628</v>
      </c>
      <c r="F2" s="25" t="s">
        <v>594</v>
      </c>
      <c r="G2" s="25" t="s">
        <v>629</v>
      </c>
      <c r="H2" s="9" t="s">
        <v>709</v>
      </c>
      <c r="I2" s="25"/>
    </row>
    <row r="3" spans="1:9" ht="144" x14ac:dyDescent="0.2">
      <c r="A3" s="25" t="s">
        <v>630</v>
      </c>
      <c r="B3" s="25" t="s">
        <v>708</v>
      </c>
      <c r="C3" s="25" t="s">
        <v>631</v>
      </c>
      <c r="D3" s="25">
        <v>1990</v>
      </c>
      <c r="E3" s="25" t="s">
        <v>235</v>
      </c>
      <c r="F3" s="25" t="s">
        <v>594</v>
      </c>
      <c r="G3" s="25" t="s">
        <v>632</v>
      </c>
      <c r="H3" s="8" t="s">
        <v>710</v>
      </c>
      <c r="I3" s="25"/>
    </row>
    <row r="4" spans="1:9" ht="128" x14ac:dyDescent="0.2">
      <c r="A4" s="25" t="s">
        <v>633</v>
      </c>
      <c r="B4" s="25"/>
      <c r="C4" s="25" t="s">
        <v>634</v>
      </c>
      <c r="D4" s="25">
        <v>2005</v>
      </c>
      <c r="E4" s="25" t="s">
        <v>262</v>
      </c>
      <c r="F4" s="25" t="s">
        <v>594</v>
      </c>
      <c r="G4" s="25" t="s">
        <v>635</v>
      </c>
      <c r="H4" s="8" t="s">
        <v>711</v>
      </c>
      <c r="I4" s="25"/>
    </row>
    <row r="5" spans="1:9" ht="320" x14ac:dyDescent="0.2">
      <c r="A5" s="25" t="s">
        <v>636</v>
      </c>
      <c r="B5" s="25" t="s">
        <v>708</v>
      </c>
      <c r="C5" s="25" t="s">
        <v>637</v>
      </c>
      <c r="D5" s="25">
        <v>1996</v>
      </c>
      <c r="E5" s="25" t="s">
        <v>110</v>
      </c>
      <c r="F5" s="25" t="s">
        <v>594</v>
      </c>
      <c r="G5" s="25" t="s">
        <v>638</v>
      </c>
      <c r="H5" s="8" t="s">
        <v>712</v>
      </c>
      <c r="I5" s="25"/>
    </row>
    <row r="6" spans="1:9" ht="256" x14ac:dyDescent="0.2">
      <c r="A6" s="25" t="s">
        <v>639</v>
      </c>
      <c r="B6" s="25"/>
      <c r="C6" s="25" t="s">
        <v>640</v>
      </c>
      <c r="D6" s="25">
        <v>2005</v>
      </c>
      <c r="E6" s="25" t="s">
        <v>475</v>
      </c>
      <c r="F6" s="25" t="s">
        <v>594</v>
      </c>
      <c r="G6" s="25" t="s">
        <v>641</v>
      </c>
      <c r="H6" s="8" t="s">
        <v>713</v>
      </c>
      <c r="I6" s="25"/>
    </row>
    <row r="7" spans="1:9" ht="409.5" x14ac:dyDescent="0.2">
      <c r="A7" s="25" t="s">
        <v>254</v>
      </c>
      <c r="B7" s="25"/>
      <c r="C7" s="25" t="s">
        <v>642</v>
      </c>
      <c r="D7" s="25">
        <v>2011</v>
      </c>
      <c r="E7" s="25" t="s">
        <v>257</v>
      </c>
      <c r="F7" s="25" t="s">
        <v>600</v>
      </c>
      <c r="G7" s="25" t="s">
        <v>256</v>
      </c>
      <c r="H7" s="8" t="s">
        <v>714</v>
      </c>
      <c r="I7" s="25"/>
    </row>
    <row r="8" spans="1:9" ht="304" x14ac:dyDescent="0.2">
      <c r="A8" s="25" t="s">
        <v>643</v>
      </c>
      <c r="B8" s="25"/>
      <c r="C8" s="25" t="s">
        <v>644</v>
      </c>
      <c r="D8" s="25">
        <v>2016</v>
      </c>
      <c r="E8" s="25" t="s">
        <v>20</v>
      </c>
      <c r="F8" s="25" t="s">
        <v>596</v>
      </c>
      <c r="G8" s="25" t="s">
        <v>645</v>
      </c>
      <c r="H8" s="25" t="s">
        <v>715</v>
      </c>
      <c r="I8" s="25"/>
    </row>
    <row r="9" spans="1:9" ht="208" x14ac:dyDescent="0.2">
      <c r="A9" s="25" t="s">
        <v>646</v>
      </c>
      <c r="B9" s="25"/>
      <c r="C9" s="25" t="s">
        <v>647</v>
      </c>
      <c r="D9" s="25">
        <v>2000</v>
      </c>
      <c r="E9" s="25" t="s">
        <v>46</v>
      </c>
      <c r="F9" s="25" t="s">
        <v>648</v>
      </c>
      <c r="G9" s="25" t="s">
        <v>649</v>
      </c>
      <c r="H9" s="8" t="s">
        <v>716</v>
      </c>
      <c r="I9" s="25"/>
    </row>
    <row r="10" spans="1:9" ht="144" x14ac:dyDescent="0.2">
      <c r="A10" s="25" t="s">
        <v>650</v>
      </c>
      <c r="B10" s="25"/>
      <c r="C10" s="25" t="s">
        <v>651</v>
      </c>
      <c r="D10" s="25">
        <v>2014</v>
      </c>
      <c r="E10" s="25" t="s">
        <v>652</v>
      </c>
      <c r="F10" s="25" t="s">
        <v>594</v>
      </c>
      <c r="G10" s="25" t="s">
        <v>653</v>
      </c>
      <c r="H10" s="8" t="s">
        <v>717</v>
      </c>
      <c r="I10" s="25"/>
    </row>
    <row r="11" spans="1:9" ht="128" x14ac:dyDescent="0.2">
      <c r="A11" s="25" t="s">
        <v>654</v>
      </c>
      <c r="B11" s="25"/>
      <c r="C11" s="25" t="s">
        <v>655</v>
      </c>
      <c r="D11" s="25">
        <v>1998</v>
      </c>
      <c r="E11" s="25" t="s">
        <v>266</v>
      </c>
      <c r="F11" s="25" t="s">
        <v>594</v>
      </c>
      <c r="G11" s="25" t="s">
        <v>656</v>
      </c>
      <c r="H11" s="8" t="s">
        <v>718</v>
      </c>
      <c r="I11" s="25"/>
    </row>
    <row r="12" spans="1:9" ht="128" x14ac:dyDescent="0.2">
      <c r="A12" s="25" t="s">
        <v>657</v>
      </c>
      <c r="B12" s="25" t="s">
        <v>708</v>
      </c>
      <c r="C12" s="25" t="s">
        <v>658</v>
      </c>
      <c r="D12" s="25">
        <v>2000</v>
      </c>
      <c r="E12" s="25" t="s">
        <v>659</v>
      </c>
      <c r="F12" s="25" t="s">
        <v>594</v>
      </c>
      <c r="G12" s="25" t="s">
        <v>660</v>
      </c>
      <c r="H12" s="8" t="s">
        <v>719</v>
      </c>
      <c r="I12" s="25"/>
    </row>
    <row r="13" spans="1:9" ht="144" x14ac:dyDescent="0.2">
      <c r="A13" s="25" t="s">
        <v>661</v>
      </c>
      <c r="B13" s="25"/>
      <c r="C13" s="25" t="s">
        <v>662</v>
      </c>
      <c r="D13" s="25">
        <v>2008</v>
      </c>
      <c r="E13" s="25" t="s">
        <v>235</v>
      </c>
      <c r="F13" s="25" t="s">
        <v>594</v>
      </c>
      <c r="G13" s="25" t="s">
        <v>663</v>
      </c>
      <c r="H13" s="8" t="s">
        <v>720</v>
      </c>
      <c r="I13" s="25"/>
    </row>
    <row r="14" spans="1:9" ht="208" x14ac:dyDescent="0.2">
      <c r="A14" s="25" t="s">
        <v>664</v>
      </c>
      <c r="B14" s="25"/>
      <c r="C14" s="25" t="s">
        <v>665</v>
      </c>
      <c r="D14" s="25">
        <v>2010</v>
      </c>
      <c r="E14" s="25" t="s">
        <v>257</v>
      </c>
      <c r="F14" s="25" t="s">
        <v>594</v>
      </c>
      <c r="G14" s="25" t="s">
        <v>666</v>
      </c>
      <c r="H14" s="8" t="s">
        <v>721</v>
      </c>
      <c r="I14" s="25"/>
    </row>
    <row r="15" spans="1:9" ht="144" x14ac:dyDescent="0.2">
      <c r="A15" s="25" t="s">
        <v>669</v>
      </c>
      <c r="B15" s="25"/>
      <c r="C15" s="25" t="s">
        <v>668</v>
      </c>
      <c r="D15" s="25">
        <v>1995</v>
      </c>
      <c r="E15" s="25" t="s">
        <v>475</v>
      </c>
      <c r="F15" s="25" t="s">
        <v>594</v>
      </c>
      <c r="G15" s="25" t="s">
        <v>667</v>
      </c>
      <c r="H15" s="8" t="s">
        <v>722</v>
      </c>
      <c r="I15" s="25"/>
    </row>
    <row r="16" spans="1:9" ht="224" x14ac:dyDescent="0.2">
      <c r="A16" s="25" t="s">
        <v>670</v>
      </c>
      <c r="B16" s="25"/>
      <c r="C16" s="25" t="s">
        <v>671</v>
      </c>
      <c r="D16" s="25">
        <v>2012</v>
      </c>
      <c r="E16" s="25" t="s">
        <v>262</v>
      </c>
      <c r="F16" s="25" t="s">
        <v>594</v>
      </c>
      <c r="G16" s="25" t="s">
        <v>672</v>
      </c>
      <c r="H16" s="8" t="s">
        <v>723</v>
      </c>
      <c r="I16" s="25"/>
    </row>
    <row r="17" spans="1:9" ht="272" x14ac:dyDescent="0.2">
      <c r="A17" s="25" t="s">
        <v>673</v>
      </c>
      <c r="B17" s="25"/>
      <c r="C17" s="25" t="s">
        <v>674</v>
      </c>
      <c r="D17" s="25">
        <v>2006</v>
      </c>
      <c r="E17" s="25" t="s">
        <v>262</v>
      </c>
      <c r="F17" s="25" t="s">
        <v>594</v>
      </c>
      <c r="G17" s="25" t="s">
        <v>675</v>
      </c>
      <c r="H17" s="8" t="s">
        <v>724</v>
      </c>
      <c r="I17" s="25"/>
    </row>
    <row r="18" spans="1:9" ht="128" x14ac:dyDescent="0.2">
      <c r="A18" s="25" t="s">
        <v>676</v>
      </c>
      <c r="B18" s="25"/>
      <c r="C18" s="25" t="s">
        <v>474</v>
      </c>
      <c r="D18" s="25">
        <v>2012</v>
      </c>
      <c r="E18" s="25" t="s">
        <v>475</v>
      </c>
      <c r="F18" s="25" t="s">
        <v>594</v>
      </c>
      <c r="G18" s="25" t="s">
        <v>677</v>
      </c>
      <c r="H18" s="8" t="s">
        <v>725</v>
      </c>
      <c r="I18" s="25"/>
    </row>
    <row r="19" spans="1:9" ht="160" x14ac:dyDescent="0.2">
      <c r="A19" s="25" t="s">
        <v>678</v>
      </c>
      <c r="B19" s="25"/>
      <c r="C19" s="25" t="s">
        <v>679</v>
      </c>
      <c r="D19" s="25">
        <v>2002</v>
      </c>
      <c r="E19" s="25" t="s">
        <v>468</v>
      </c>
      <c r="F19" s="25" t="s">
        <v>594</v>
      </c>
      <c r="G19" s="25" t="s">
        <v>680</v>
      </c>
      <c r="H19" s="8" t="s">
        <v>726</v>
      </c>
      <c r="I19" s="25"/>
    </row>
    <row r="20" spans="1:9" ht="176" x14ac:dyDescent="0.2">
      <c r="A20" s="25" t="s">
        <v>681</v>
      </c>
      <c r="B20" s="25"/>
      <c r="C20" s="25" t="s">
        <v>682</v>
      </c>
      <c r="D20" s="25">
        <v>2011</v>
      </c>
      <c r="E20" s="25" t="s">
        <v>46</v>
      </c>
      <c r="F20" s="25"/>
      <c r="G20" s="25" t="s">
        <v>683</v>
      </c>
      <c r="H20" s="8" t="s">
        <v>727</v>
      </c>
      <c r="I20" s="25"/>
    </row>
    <row r="21" spans="1:9" ht="240" x14ac:dyDescent="0.2">
      <c r="A21" s="25" t="s">
        <v>684</v>
      </c>
      <c r="B21" s="25"/>
      <c r="C21" s="25" t="s">
        <v>685</v>
      </c>
      <c r="D21" s="25">
        <v>2005</v>
      </c>
      <c r="E21" s="25" t="s">
        <v>46</v>
      </c>
      <c r="F21" s="25"/>
      <c r="G21" s="25" t="s">
        <v>686</v>
      </c>
      <c r="H21" s="8" t="s">
        <v>728</v>
      </c>
      <c r="I21" s="25"/>
    </row>
    <row r="22" spans="1:9" ht="256" x14ac:dyDescent="0.2">
      <c r="A22" s="25" t="s">
        <v>687</v>
      </c>
      <c r="B22" s="25"/>
      <c r="C22" s="25" t="s">
        <v>688</v>
      </c>
      <c r="D22" s="25">
        <v>2017</v>
      </c>
      <c r="E22" s="25" t="s">
        <v>689</v>
      </c>
      <c r="F22" s="25" t="s">
        <v>594</v>
      </c>
      <c r="G22" s="25" t="s">
        <v>690</v>
      </c>
      <c r="H22" s="8" t="s">
        <v>729</v>
      </c>
      <c r="I22" s="25"/>
    </row>
    <row r="23" spans="1:9" ht="256" x14ac:dyDescent="0.2">
      <c r="A23" s="25" t="s">
        <v>691</v>
      </c>
      <c r="B23" s="25"/>
      <c r="C23" s="25" t="s">
        <v>692</v>
      </c>
      <c r="D23" s="25">
        <v>2015</v>
      </c>
      <c r="E23" s="25" t="s">
        <v>262</v>
      </c>
      <c r="F23" s="25" t="s">
        <v>594</v>
      </c>
      <c r="G23" s="25" t="s">
        <v>693</v>
      </c>
      <c r="H23" s="8" t="s">
        <v>730</v>
      </c>
      <c r="I23" s="25"/>
    </row>
    <row r="24" spans="1:9" ht="192" x14ac:dyDescent="0.2">
      <c r="A24" s="26" t="s">
        <v>694</v>
      </c>
      <c r="B24" s="26"/>
      <c r="C24" s="25" t="s">
        <v>695</v>
      </c>
      <c r="D24" s="25">
        <v>2018</v>
      </c>
      <c r="E24" s="25" t="s">
        <v>46</v>
      </c>
      <c r="F24" s="25"/>
      <c r="G24" s="25" t="s">
        <v>696</v>
      </c>
      <c r="H24" s="8" t="s">
        <v>731</v>
      </c>
      <c r="I24" s="25"/>
    </row>
    <row r="25" spans="1:9" ht="256" x14ac:dyDescent="0.2">
      <c r="A25" s="25" t="s">
        <v>260</v>
      </c>
      <c r="B25" s="25"/>
      <c r="C25" s="25" t="s">
        <v>472</v>
      </c>
      <c r="D25" s="25">
        <v>2011</v>
      </c>
      <c r="E25" s="25" t="s">
        <v>262</v>
      </c>
      <c r="F25" s="25" t="s">
        <v>594</v>
      </c>
      <c r="G25" s="25" t="s">
        <v>697</v>
      </c>
      <c r="H25" s="8" t="s">
        <v>730</v>
      </c>
      <c r="I25" s="25"/>
    </row>
    <row r="26" spans="1:9" ht="102" x14ac:dyDescent="0.2">
      <c r="A26" s="25" t="s">
        <v>698</v>
      </c>
      <c r="B26" s="25"/>
      <c r="C26" s="25" t="s">
        <v>699</v>
      </c>
      <c r="D26" s="25">
        <v>2001</v>
      </c>
      <c r="E26" s="25" t="s">
        <v>700</v>
      </c>
      <c r="F26" s="25" t="s">
        <v>594</v>
      </c>
      <c r="G26" s="25"/>
      <c r="H26" s="8" t="s">
        <v>732</v>
      </c>
      <c r="I26" s="25"/>
    </row>
    <row r="27" spans="1:9" ht="256" x14ac:dyDescent="0.2">
      <c r="A27" s="25" t="s">
        <v>701</v>
      </c>
      <c r="B27" s="25"/>
      <c r="C27" s="25" t="s">
        <v>702</v>
      </c>
      <c r="D27" s="25">
        <v>2004</v>
      </c>
      <c r="E27" s="25" t="s">
        <v>110</v>
      </c>
      <c r="F27" s="25" t="s">
        <v>594</v>
      </c>
      <c r="G27" s="25" t="s">
        <v>703</v>
      </c>
      <c r="H27" s="8" t="s">
        <v>733</v>
      </c>
      <c r="I27" s="25"/>
    </row>
    <row r="28" spans="1:9" ht="304" x14ac:dyDescent="0.2">
      <c r="A28" s="25" t="s">
        <v>704</v>
      </c>
      <c r="B28" s="25" t="s">
        <v>708</v>
      </c>
      <c r="C28" s="25" t="s">
        <v>705</v>
      </c>
      <c r="D28" s="25">
        <v>1998</v>
      </c>
      <c r="E28" s="25" t="s">
        <v>235</v>
      </c>
      <c r="F28" s="25" t="s">
        <v>594</v>
      </c>
      <c r="G28" s="25" t="s">
        <v>706</v>
      </c>
      <c r="H28" s="8" t="s">
        <v>734</v>
      </c>
      <c r="I28" s="25"/>
    </row>
    <row r="29" spans="1:9" ht="112" x14ac:dyDescent="0.2">
      <c r="A29" s="25" t="s">
        <v>394</v>
      </c>
      <c r="B29" s="25"/>
      <c r="C29" s="25" t="s">
        <v>395</v>
      </c>
      <c r="D29" s="25">
        <v>1994</v>
      </c>
      <c r="E29" s="25" t="s">
        <v>396</v>
      </c>
      <c r="F29" s="25" t="s">
        <v>594</v>
      </c>
      <c r="G29" s="25" t="s">
        <v>795</v>
      </c>
      <c r="H29" s="8" t="s">
        <v>796</v>
      </c>
      <c r="I29" s="25"/>
    </row>
    <row r="30" spans="1:9" ht="409.6" x14ac:dyDescent="0.2">
      <c r="A30" s="25" t="s">
        <v>797</v>
      </c>
      <c r="B30" s="25"/>
      <c r="C30" s="25" t="s">
        <v>798</v>
      </c>
      <c r="D30" s="25">
        <v>2000</v>
      </c>
      <c r="E30" s="25" t="s">
        <v>110</v>
      </c>
      <c r="F30" s="25" t="s">
        <v>594</v>
      </c>
      <c r="G30" s="25" t="s">
        <v>799</v>
      </c>
      <c r="H30" s="8" t="s">
        <v>800</v>
      </c>
      <c r="I30" s="25"/>
    </row>
    <row r="31" spans="1:9" ht="380" x14ac:dyDescent="0.2">
      <c r="A31" s="25" t="s">
        <v>803</v>
      </c>
      <c r="B31" s="25"/>
      <c r="C31" s="25" t="s">
        <v>802</v>
      </c>
      <c r="D31" s="25">
        <v>1985</v>
      </c>
      <c r="E31" s="25" t="s">
        <v>110</v>
      </c>
      <c r="F31" s="25" t="s">
        <v>594</v>
      </c>
      <c r="G31" s="25" t="s">
        <v>801</v>
      </c>
      <c r="H31" s="8" t="s">
        <v>804</v>
      </c>
      <c r="I31" s="25"/>
    </row>
    <row r="32" spans="1:9" ht="192" x14ac:dyDescent="0.2">
      <c r="A32" s="25" t="s">
        <v>805</v>
      </c>
      <c r="B32" s="25"/>
      <c r="C32" s="25" t="s">
        <v>806</v>
      </c>
      <c r="D32" s="25">
        <v>1999</v>
      </c>
      <c r="E32" s="25" t="s">
        <v>84</v>
      </c>
      <c r="F32" s="25" t="s">
        <v>594</v>
      </c>
      <c r="G32" s="25" t="s">
        <v>807</v>
      </c>
      <c r="H32" s="8" t="s">
        <v>808</v>
      </c>
      <c r="I32" s="25"/>
    </row>
    <row r="33" spans="1:9" ht="176" x14ac:dyDescent="0.2">
      <c r="A33" s="25" t="s">
        <v>809</v>
      </c>
      <c r="B33" s="25"/>
      <c r="C33" s="25" t="s">
        <v>810</v>
      </c>
      <c r="D33" s="25">
        <v>2011</v>
      </c>
      <c r="E33" s="25" t="s">
        <v>84</v>
      </c>
      <c r="F33" s="25" t="s">
        <v>594</v>
      </c>
      <c r="G33" s="25" t="s">
        <v>811</v>
      </c>
      <c r="H33" s="8" t="s">
        <v>812</v>
      </c>
      <c r="I33" s="25"/>
    </row>
    <row r="34" spans="1:9" ht="409.6" x14ac:dyDescent="0.2">
      <c r="A34" s="25" t="s">
        <v>813</v>
      </c>
      <c r="B34" s="25"/>
      <c r="C34" s="25" t="s">
        <v>814</v>
      </c>
      <c r="D34" s="25">
        <v>1992</v>
      </c>
      <c r="E34" s="25" t="s">
        <v>110</v>
      </c>
      <c r="F34" s="25" t="s">
        <v>594</v>
      </c>
      <c r="G34" s="25" t="s">
        <v>815</v>
      </c>
      <c r="H34" s="8" t="s">
        <v>816</v>
      </c>
      <c r="I34" s="25"/>
    </row>
    <row r="35" spans="1:9" ht="144" x14ac:dyDescent="0.2">
      <c r="A35" s="25" t="s">
        <v>423</v>
      </c>
      <c r="B35" s="25"/>
      <c r="C35" s="25" t="s">
        <v>265</v>
      </c>
      <c r="D35" s="25">
        <v>2007</v>
      </c>
      <c r="E35" s="25" t="s">
        <v>266</v>
      </c>
      <c r="F35" s="25" t="s">
        <v>594</v>
      </c>
      <c r="G35" s="25" t="s">
        <v>817</v>
      </c>
      <c r="H35" s="8" t="s">
        <v>818</v>
      </c>
      <c r="I35" s="25"/>
    </row>
    <row r="36" spans="1:9" ht="128" x14ac:dyDescent="0.2">
      <c r="A36" s="25" t="s">
        <v>820</v>
      </c>
      <c r="B36" s="25"/>
      <c r="C36" s="25" t="s">
        <v>821</v>
      </c>
      <c r="D36" s="25">
        <v>2010</v>
      </c>
      <c r="E36" s="25" t="s">
        <v>69</v>
      </c>
      <c r="F36" s="25" t="s">
        <v>594</v>
      </c>
      <c r="G36" s="25" t="s">
        <v>822</v>
      </c>
      <c r="H36" s="8" t="s">
        <v>819</v>
      </c>
      <c r="I36" s="25"/>
    </row>
    <row r="37" spans="1:9" ht="176" x14ac:dyDescent="0.2">
      <c r="A37" s="25" t="s">
        <v>823</v>
      </c>
      <c r="B37" s="25"/>
      <c r="C37" s="25" t="s">
        <v>824</v>
      </c>
      <c r="D37" s="25">
        <v>2011</v>
      </c>
      <c r="E37" s="25" t="s">
        <v>110</v>
      </c>
      <c r="F37" s="25" t="s">
        <v>594</v>
      </c>
      <c r="G37" s="25" t="s">
        <v>825</v>
      </c>
      <c r="H37" s="8" t="s">
        <v>828</v>
      </c>
      <c r="I37" s="25"/>
    </row>
    <row r="38" spans="1:9" ht="112" x14ac:dyDescent="0.2">
      <c r="A38" s="25" t="s">
        <v>829</v>
      </c>
      <c r="B38" s="25"/>
      <c r="C38" s="25" t="s">
        <v>830</v>
      </c>
      <c r="D38" s="25">
        <v>2017</v>
      </c>
      <c r="E38" s="25" t="s">
        <v>245</v>
      </c>
      <c r="F38" s="25" t="s">
        <v>594</v>
      </c>
      <c r="G38" s="25" t="s">
        <v>831</v>
      </c>
      <c r="H38" s="8" t="s">
        <v>832</v>
      </c>
      <c r="I38" s="25"/>
    </row>
    <row r="39" spans="1:9" ht="128" x14ac:dyDescent="0.2">
      <c r="A39" s="25" t="s">
        <v>833</v>
      </c>
      <c r="B39" s="25"/>
      <c r="C39" s="25" t="s">
        <v>834</v>
      </c>
      <c r="D39" s="25">
        <v>1995</v>
      </c>
      <c r="E39" s="25" t="s">
        <v>475</v>
      </c>
      <c r="F39" s="25" t="s">
        <v>594</v>
      </c>
      <c r="G39" s="25" t="s">
        <v>836</v>
      </c>
      <c r="H39" s="8" t="s">
        <v>837</v>
      </c>
      <c r="I39" s="25"/>
    </row>
    <row r="40" spans="1:9" ht="144" x14ac:dyDescent="0.2">
      <c r="A40" s="25" t="s">
        <v>835</v>
      </c>
      <c r="B40" s="25"/>
      <c r="C40" s="25" t="s">
        <v>840</v>
      </c>
      <c r="D40" s="25">
        <v>2007</v>
      </c>
      <c r="E40" s="25" t="s">
        <v>110</v>
      </c>
      <c r="F40" s="25" t="s">
        <v>594</v>
      </c>
      <c r="G40" s="25" t="s">
        <v>839</v>
      </c>
      <c r="H40" s="8" t="s">
        <v>838</v>
      </c>
      <c r="I40" s="25"/>
    </row>
    <row r="41" spans="1:9" ht="192" x14ac:dyDescent="0.2">
      <c r="A41" s="25" t="s">
        <v>842</v>
      </c>
      <c r="B41" s="25"/>
      <c r="C41" s="25" t="s">
        <v>688</v>
      </c>
      <c r="D41" s="25">
        <v>2006</v>
      </c>
      <c r="E41" s="25" t="s">
        <v>689</v>
      </c>
      <c r="F41" s="25" t="s">
        <v>594</v>
      </c>
      <c r="G41" s="25" t="s">
        <v>841</v>
      </c>
      <c r="H41" s="8" t="s">
        <v>843</v>
      </c>
      <c r="I41" s="25"/>
    </row>
    <row r="42" spans="1:9" ht="176" x14ac:dyDescent="0.2">
      <c r="A42" s="25" t="s">
        <v>844</v>
      </c>
      <c r="B42" s="25"/>
      <c r="C42" s="25" t="s">
        <v>845</v>
      </c>
      <c r="D42" s="25">
        <v>1989</v>
      </c>
      <c r="E42" s="25" t="s">
        <v>110</v>
      </c>
      <c r="F42" s="25" t="s">
        <v>594</v>
      </c>
      <c r="G42" s="25" t="s">
        <v>846</v>
      </c>
      <c r="H42" s="8" t="s">
        <v>847</v>
      </c>
      <c r="I42" s="25"/>
    </row>
    <row r="43" spans="1:9" ht="409.6" x14ac:dyDescent="0.2">
      <c r="A43" s="25" t="s">
        <v>848</v>
      </c>
      <c r="B43" s="25"/>
      <c r="C43" s="25" t="s">
        <v>849</v>
      </c>
      <c r="D43" s="25">
        <v>1989</v>
      </c>
      <c r="E43" s="25" t="s">
        <v>110</v>
      </c>
      <c r="F43" s="25" t="s">
        <v>594</v>
      </c>
      <c r="G43" s="25" t="s">
        <v>850</v>
      </c>
      <c r="H43" s="8" t="s">
        <v>851</v>
      </c>
      <c r="I43" s="25"/>
    </row>
    <row r="44" spans="1:9" ht="128" x14ac:dyDescent="0.2">
      <c r="A44" s="25" t="s">
        <v>852</v>
      </c>
      <c r="B44" s="25"/>
      <c r="C44" s="25" t="s">
        <v>853</v>
      </c>
      <c r="D44" s="25">
        <v>2004</v>
      </c>
      <c r="E44" s="25" t="s">
        <v>475</v>
      </c>
      <c r="F44" s="25" t="s">
        <v>594</v>
      </c>
      <c r="G44" s="25" t="s">
        <v>854</v>
      </c>
      <c r="H44" s="8" t="s">
        <v>886</v>
      </c>
      <c r="I44" s="25"/>
    </row>
    <row r="45" spans="1:9" ht="208" x14ac:dyDescent="0.2">
      <c r="A45" s="25" t="s">
        <v>881</v>
      </c>
      <c r="B45" s="25"/>
      <c r="C45" s="25" t="s">
        <v>882</v>
      </c>
      <c r="D45" s="25">
        <v>2014</v>
      </c>
      <c r="E45" s="25" t="s">
        <v>883</v>
      </c>
      <c r="F45" s="25"/>
      <c r="G45" s="25" t="s">
        <v>884</v>
      </c>
      <c r="H45" s="8" t="s">
        <v>885</v>
      </c>
      <c r="I45" s="25"/>
    </row>
    <row r="46" spans="1:9" ht="224" x14ac:dyDescent="0.2">
      <c r="A46" s="5" t="s">
        <v>916</v>
      </c>
      <c r="B46" s="25"/>
      <c r="C46" s="5" t="s">
        <v>915</v>
      </c>
      <c r="D46" s="25">
        <v>2020</v>
      </c>
      <c r="E46" s="25" t="s">
        <v>917</v>
      </c>
      <c r="F46" s="25" t="s">
        <v>594</v>
      </c>
      <c r="G46" s="25" t="s">
        <v>918</v>
      </c>
      <c r="H46" s="8" t="s">
        <v>914</v>
      </c>
      <c r="I46" s="25"/>
    </row>
    <row r="47" spans="1:9" x14ac:dyDescent="0.2">
      <c r="A47" s="25"/>
      <c r="B47" s="25"/>
      <c r="C47" s="25"/>
      <c r="D47" s="25"/>
      <c r="E47" s="25"/>
      <c r="F47" s="25"/>
      <c r="G47" s="25"/>
      <c r="H47" s="25"/>
      <c r="I47" s="25"/>
    </row>
    <row r="48" spans="1:9" x14ac:dyDescent="0.2">
      <c r="A48" s="25"/>
      <c r="B48" s="25"/>
      <c r="C48" s="25"/>
      <c r="D48" s="25"/>
      <c r="E48" s="25"/>
      <c r="F48" s="25"/>
      <c r="G48" s="25"/>
      <c r="H48" s="25"/>
      <c r="I48" s="25"/>
    </row>
    <row r="49" spans="1:9" x14ac:dyDescent="0.2">
      <c r="A49" s="25"/>
      <c r="B49" s="25"/>
      <c r="C49" s="25"/>
      <c r="D49" s="25"/>
      <c r="E49" s="25"/>
      <c r="F49" s="25"/>
      <c r="G49" s="25"/>
      <c r="H49" s="25"/>
      <c r="I49" s="25"/>
    </row>
    <row r="50" spans="1:9" x14ac:dyDescent="0.2">
      <c r="A50" s="25"/>
      <c r="B50" s="25"/>
      <c r="C50" s="25"/>
      <c r="D50" s="25"/>
      <c r="E50" s="25"/>
      <c r="F50" s="25"/>
      <c r="G50" s="25"/>
      <c r="H50" s="25"/>
      <c r="I50" s="25"/>
    </row>
    <row r="51" spans="1:9" x14ac:dyDescent="0.2">
      <c r="A51" s="25"/>
      <c r="B51" s="25"/>
      <c r="C51" s="25"/>
      <c r="D51" s="25"/>
      <c r="E51" s="25"/>
      <c r="F51" s="25"/>
      <c r="G51" s="25"/>
      <c r="H51" s="25"/>
      <c r="I51" s="25"/>
    </row>
  </sheetData>
  <hyperlinks>
    <hyperlink ref="H2" r:id="rId1" xr:uid="{8FC75F97-7131-8643-902F-521611E7CE51}"/>
    <hyperlink ref="H3" r:id="rId2" xr:uid="{2A70E3BB-2696-D64A-9349-78C01F4C205F}"/>
    <hyperlink ref="H4" r:id="rId3" xr:uid="{754C8A31-5C36-3544-AA8A-969EE4D95563}"/>
    <hyperlink ref="H5" r:id="rId4" xr:uid="{0C06C21C-2242-7D4A-87B5-59558A9C28E2}"/>
    <hyperlink ref="H6" r:id="rId5" xr:uid="{AADDD2F6-D5D7-4E40-9CF4-409A0B38457F}"/>
    <hyperlink ref="H7" r:id="rId6" xr:uid="{4E185D3A-E1DE-A041-86C1-4E6CF1707C4E}"/>
    <hyperlink ref="H9" r:id="rId7" xr:uid="{C53E06EF-7974-344E-88E1-33783CFA800D}"/>
    <hyperlink ref="H10" r:id="rId8" xr:uid="{37E3F1D7-E75F-E744-B7E6-D8A37A1C98B4}"/>
    <hyperlink ref="H11" r:id="rId9" xr:uid="{692CE8E1-5913-7141-B795-754D0484BD4C}"/>
    <hyperlink ref="H12" r:id="rId10" xr:uid="{F02DE70E-1CD9-904D-938E-4EB5D39CBE29}"/>
    <hyperlink ref="H13" r:id="rId11" xr:uid="{EAD0C5EC-DEFC-484E-B85A-189206C6D7C4}"/>
    <hyperlink ref="H14" r:id="rId12" xr:uid="{1DC03100-9A48-B24E-8BA2-56CBF77E8AF7}"/>
    <hyperlink ref="H15" r:id="rId13" xr:uid="{0F717A85-5CB6-2F45-A496-3C69EA8D274E}"/>
    <hyperlink ref="H16" r:id="rId14" xr:uid="{D63010FE-51C1-7543-A009-24EAE95F9D1D}"/>
    <hyperlink ref="H17" r:id="rId15" xr:uid="{CC40BB20-38FB-AE45-BF6F-42C738D6E064}"/>
    <hyperlink ref="H18" r:id="rId16" xr:uid="{80ED226C-6338-9943-B4F4-EEFB6499FDE7}"/>
    <hyperlink ref="H19" r:id="rId17" xr:uid="{45B39431-41B0-B540-B6F8-108A17993068}"/>
    <hyperlink ref="H20" r:id="rId18" xr:uid="{5A79FEA0-255D-FC4D-898F-9937A22525A3}"/>
    <hyperlink ref="H21" r:id="rId19" xr:uid="{09F4EAE0-FC7F-6F4A-93F0-87D4A412884D}"/>
    <hyperlink ref="H22" r:id="rId20" xr:uid="{50B4B2C6-8C90-714B-A28C-60AD9A474D92}"/>
    <hyperlink ref="H23" r:id="rId21" xr:uid="{8D6E9EED-1033-A643-BFEB-6D935EED6079}"/>
    <hyperlink ref="H24" r:id="rId22" xr:uid="{F850BD7D-6BC9-FA44-8954-A254CEDF97AF}"/>
    <hyperlink ref="H25" r:id="rId23" xr:uid="{99D64504-726C-274C-8B85-ACED689E1EF6}"/>
    <hyperlink ref="H26" r:id="rId24" xr:uid="{A798D0C0-61A2-7C4E-B7DF-F7728A17D474}"/>
    <hyperlink ref="H27" r:id="rId25" xr:uid="{534D43CF-74D4-C640-BBD5-7AA6B9D9C598}"/>
    <hyperlink ref="H28" r:id="rId26" xr:uid="{CE18D1C8-6A39-C64D-806A-D394C5C971D9}"/>
    <hyperlink ref="H29" r:id="rId27" xr:uid="{DFB6E1EF-7167-8644-A271-B1B0458C8A3C}"/>
    <hyperlink ref="H30" r:id="rId28" xr:uid="{090A7428-D486-7B42-8919-93840838EB56}"/>
    <hyperlink ref="H31" r:id="rId29" xr:uid="{325990BA-9C70-5748-A8D4-06CE20B46BDB}"/>
    <hyperlink ref="H32" r:id="rId30" xr:uid="{F2447C03-E205-C443-BD48-A3A7A59980EA}"/>
    <hyperlink ref="H33" r:id="rId31" xr:uid="{89880AD9-6285-EB40-8938-C76587A31B54}"/>
    <hyperlink ref="H34" r:id="rId32" xr:uid="{C171743F-DB9D-D545-A3CE-6D830951CD76}"/>
    <hyperlink ref="H35" r:id="rId33" xr:uid="{BFE7DDA0-688B-444C-BF15-21954ABACD6C}"/>
    <hyperlink ref="H36" r:id="rId34" xr:uid="{4990FA16-D1DB-0D4F-936E-343A1E110AC8}"/>
    <hyperlink ref="H37" r:id="rId35" xr:uid="{F723176E-58C4-BF44-8DDC-D3F4FD317B2B}"/>
    <hyperlink ref="H38" r:id="rId36" xr:uid="{E48EAC2C-B8A2-E64D-90A5-B52471F00441}"/>
    <hyperlink ref="H39" r:id="rId37" xr:uid="{261F1F58-C51F-D147-9F5C-CEFAC8AC2BAB}"/>
    <hyperlink ref="H40" r:id="rId38" xr:uid="{0E85EC50-B227-C142-AD0D-C5BF3D4C9013}"/>
    <hyperlink ref="H41" r:id="rId39" xr:uid="{AD8BCD96-7911-114E-BFAB-5ABC45E2ABF4}"/>
    <hyperlink ref="H42" r:id="rId40" xr:uid="{2FFB2C49-32D7-9143-9950-9F7C5EC032D7}"/>
    <hyperlink ref="H43" r:id="rId41" xr:uid="{F904FBC9-03C2-E641-A8FF-83E4F33D7C84}"/>
    <hyperlink ref="H45" r:id="rId42" xr:uid="{3B6F4692-ED19-4A48-B2E2-920F2360A197}"/>
    <hyperlink ref="H44" r:id="rId43" xr:uid="{9CA8BB6C-1E6F-AC40-B6E3-27C56E53EA3B}"/>
    <hyperlink ref="H46" r:id="rId44" xr:uid="{D83BFAB3-73D5-3F4F-813D-369914587592}"/>
  </hyperlinks>
  <pageMargins left="0.7" right="0.7" top="0.75" bottom="0.75" header="0.3" footer="0.3"/>
  <tableParts count="1">
    <tablePart r:id="rId4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4BA12-FB7F-7A49-9723-53ECDB474001}">
  <dimension ref="A1:I6"/>
  <sheetViews>
    <sheetView topLeftCell="A3" workbookViewId="0">
      <selection activeCell="B4" sqref="A2:I6"/>
    </sheetView>
  </sheetViews>
  <sheetFormatPr baseColWidth="10" defaultRowHeight="16" x14ac:dyDescent="0.2"/>
  <cols>
    <col min="1" max="1" width="33.33203125" customWidth="1"/>
    <col min="2" max="2" width="22.5" customWidth="1"/>
    <col min="3" max="3" width="24" customWidth="1"/>
    <col min="4" max="4" width="15.33203125" customWidth="1"/>
    <col min="5" max="5" width="24.83203125" customWidth="1"/>
    <col min="6" max="6" width="20.83203125" customWidth="1"/>
    <col min="7" max="7" width="48.6640625" customWidth="1"/>
    <col min="8" max="8" width="32.83203125" customWidth="1"/>
    <col min="9" max="9" width="31.33203125" customWidth="1"/>
  </cols>
  <sheetData>
    <row r="1" spans="1:9" ht="17" x14ac:dyDescent="0.2">
      <c r="A1" s="34" t="s">
        <v>13</v>
      </c>
      <c r="B1" s="34" t="s">
        <v>707</v>
      </c>
      <c r="C1" s="35" t="s">
        <v>3</v>
      </c>
      <c r="D1" s="35" t="s">
        <v>4</v>
      </c>
      <c r="E1" s="35" t="s">
        <v>12</v>
      </c>
      <c r="F1" s="35" t="s">
        <v>595</v>
      </c>
      <c r="G1" s="34" t="s">
        <v>0</v>
      </c>
      <c r="H1" s="34" t="s">
        <v>113</v>
      </c>
      <c r="I1" s="36" t="s">
        <v>532</v>
      </c>
    </row>
    <row r="2" spans="1:9" ht="409.6" x14ac:dyDescent="0.2">
      <c r="A2" s="37" t="s">
        <v>888</v>
      </c>
      <c r="B2" s="5" t="s">
        <v>890</v>
      </c>
      <c r="C2" s="37" t="s">
        <v>889</v>
      </c>
      <c r="D2" s="37">
        <v>1994</v>
      </c>
      <c r="E2" s="37" t="s">
        <v>110</v>
      </c>
      <c r="F2" s="37" t="s">
        <v>594</v>
      </c>
      <c r="G2" s="37" t="s">
        <v>891</v>
      </c>
      <c r="H2" s="9" t="s">
        <v>887</v>
      </c>
      <c r="I2" s="37"/>
    </row>
    <row r="3" spans="1:9" ht="306" x14ac:dyDescent="0.2">
      <c r="A3" s="5" t="s">
        <v>892</v>
      </c>
      <c r="B3" s="5" t="s">
        <v>895</v>
      </c>
      <c r="C3" s="38" t="s">
        <v>893</v>
      </c>
      <c r="D3" s="5">
        <v>2019</v>
      </c>
      <c r="E3" s="5" t="s">
        <v>262</v>
      </c>
      <c r="F3" s="5" t="s">
        <v>594</v>
      </c>
      <c r="G3" s="5" t="s">
        <v>894</v>
      </c>
      <c r="H3" s="8" t="s">
        <v>896</v>
      </c>
      <c r="I3" s="5"/>
    </row>
    <row r="4" spans="1:9" ht="306" x14ac:dyDescent="0.2">
      <c r="A4" s="5" t="s">
        <v>897</v>
      </c>
      <c r="B4" s="5" t="s">
        <v>898</v>
      </c>
      <c r="C4" s="38" t="s">
        <v>899</v>
      </c>
      <c r="D4" s="5">
        <v>2014</v>
      </c>
      <c r="E4" s="5" t="s">
        <v>900</v>
      </c>
      <c r="F4" s="5"/>
      <c r="G4" s="5" t="s">
        <v>901</v>
      </c>
      <c r="H4" s="8" t="s">
        <v>903</v>
      </c>
      <c r="I4" s="5"/>
    </row>
    <row r="5" spans="1:9" ht="187" x14ac:dyDescent="0.2">
      <c r="A5" s="5" t="s">
        <v>904</v>
      </c>
      <c r="B5" s="5" t="s">
        <v>898</v>
      </c>
      <c r="C5" s="38" t="s">
        <v>905</v>
      </c>
      <c r="D5" s="5">
        <v>2000</v>
      </c>
      <c r="E5" s="5" t="s">
        <v>110</v>
      </c>
      <c r="F5" s="5" t="s">
        <v>594</v>
      </c>
      <c r="G5" s="5" t="s">
        <v>907</v>
      </c>
      <c r="H5" s="8" t="s">
        <v>906</v>
      </c>
      <c r="I5" s="5"/>
    </row>
    <row r="6" spans="1:9" ht="187" x14ac:dyDescent="0.2">
      <c r="A6" s="5" t="s">
        <v>904</v>
      </c>
      <c r="B6" s="5" t="s">
        <v>898</v>
      </c>
      <c r="C6" s="38" t="s">
        <v>905</v>
      </c>
      <c r="D6" s="5">
        <v>2000</v>
      </c>
      <c r="E6" s="5" t="s">
        <v>46</v>
      </c>
      <c r="F6" s="5"/>
      <c r="G6" s="5" t="s">
        <v>907</v>
      </c>
      <c r="H6" s="8" t="s">
        <v>902</v>
      </c>
      <c r="I6" s="5"/>
    </row>
  </sheetData>
  <hyperlinks>
    <hyperlink ref="H2" r:id="rId1" xr:uid="{90530027-7F34-004D-831E-BA66498DCC2D}"/>
    <hyperlink ref="H3" r:id="rId2" xr:uid="{DBA18814-8147-2249-B54B-585AF0172FE0}"/>
    <hyperlink ref="H4" r:id="rId3" xr:uid="{9EA9FD3F-F4A8-D940-B83B-2F6EBE3C3FD0}"/>
    <hyperlink ref="H5" r:id="rId4" xr:uid="{80A12AF7-CDA3-484C-B294-D4851D1E8A6C}"/>
  </hyperlinks>
  <pageMargins left="0.7" right="0.7" top="0.75" bottom="0.75" header="0.3" footer="0.3"/>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08AD4-4841-984A-8D38-C62A98950899}">
  <dimension ref="A1:I34"/>
  <sheetViews>
    <sheetView zoomScale="125" workbookViewId="0">
      <pane xSplit="3" ySplit="1" topLeftCell="D10" activePane="bottomRight" state="frozen"/>
      <selection pane="topRight" activeCell="D1" sqref="D1"/>
      <selection pane="bottomLeft" activeCell="A2" sqref="A2"/>
      <selection pane="bottomRight" activeCell="C11" sqref="A1:I28"/>
    </sheetView>
  </sheetViews>
  <sheetFormatPr baseColWidth="10" defaultRowHeight="16" x14ac:dyDescent="0.2"/>
  <cols>
    <col min="1" max="1" width="34.83203125" customWidth="1"/>
    <col min="2" max="2" width="20" customWidth="1"/>
    <col min="3" max="3" width="22.1640625" customWidth="1"/>
    <col min="4" max="4" width="25.33203125" customWidth="1"/>
    <col min="5" max="5" width="19.1640625" customWidth="1"/>
    <col min="6" max="6" width="19.5" style="6" bestFit="1" customWidth="1"/>
    <col min="7" max="7" width="68.5" customWidth="1"/>
    <col min="8" max="8" width="14.33203125" customWidth="1"/>
  </cols>
  <sheetData>
    <row r="1" spans="1:9" ht="17" x14ac:dyDescent="0.2">
      <c r="A1" s="2" t="s">
        <v>13</v>
      </c>
      <c r="B1" s="2" t="s">
        <v>707</v>
      </c>
      <c r="C1" s="1" t="s">
        <v>3</v>
      </c>
      <c r="D1" s="1" t="s">
        <v>4</v>
      </c>
      <c r="E1" s="1" t="s">
        <v>12</v>
      </c>
      <c r="F1" s="1" t="s">
        <v>595</v>
      </c>
      <c r="G1" s="2" t="s">
        <v>0</v>
      </c>
      <c r="H1" s="2" t="s">
        <v>113</v>
      </c>
      <c r="I1" t="s">
        <v>532</v>
      </c>
    </row>
    <row r="2" spans="1:9" ht="224" x14ac:dyDescent="0.2">
      <c r="A2" s="25" t="s">
        <v>735</v>
      </c>
      <c r="B2" s="25" t="s">
        <v>736</v>
      </c>
      <c r="C2" s="25" t="s">
        <v>737</v>
      </c>
      <c r="D2" s="25">
        <v>1990</v>
      </c>
      <c r="E2" s="25" t="s">
        <v>84</v>
      </c>
      <c r="F2" s="25" t="s">
        <v>594</v>
      </c>
      <c r="G2" s="25" t="s">
        <v>738</v>
      </c>
      <c r="H2" s="9" t="s">
        <v>739</v>
      </c>
      <c r="I2" s="25"/>
    </row>
    <row r="3" spans="1:9" ht="409.6" x14ac:dyDescent="0.2">
      <c r="A3" s="25" t="s">
        <v>740</v>
      </c>
      <c r="B3" s="25" t="s">
        <v>736</v>
      </c>
      <c r="C3" s="25" t="s">
        <v>741</v>
      </c>
      <c r="D3" s="25"/>
      <c r="E3" s="25"/>
      <c r="F3" s="25" t="s">
        <v>594</v>
      </c>
      <c r="G3" s="25" t="s">
        <v>742</v>
      </c>
      <c r="H3" s="8" t="s">
        <v>743</v>
      </c>
      <c r="I3" s="25"/>
    </row>
    <row r="4" spans="1:9" ht="288" x14ac:dyDescent="0.2">
      <c r="A4" s="25" t="s">
        <v>744</v>
      </c>
      <c r="B4" s="25" t="s">
        <v>736</v>
      </c>
      <c r="C4" s="25" t="s">
        <v>745</v>
      </c>
      <c r="D4" s="25">
        <v>1983</v>
      </c>
      <c r="E4" s="25" t="s">
        <v>475</v>
      </c>
      <c r="F4" s="25" t="s">
        <v>594</v>
      </c>
      <c r="G4" s="25" t="s">
        <v>746</v>
      </c>
      <c r="H4" s="8" t="s">
        <v>747</v>
      </c>
      <c r="I4" s="25"/>
    </row>
    <row r="5" spans="1:9" ht="102" x14ac:dyDescent="0.2">
      <c r="A5" s="25" t="s">
        <v>748</v>
      </c>
      <c r="B5" s="25" t="s">
        <v>736</v>
      </c>
      <c r="C5" s="25" t="s">
        <v>749</v>
      </c>
      <c r="D5" s="25">
        <v>1981</v>
      </c>
      <c r="E5" s="25" t="s">
        <v>700</v>
      </c>
      <c r="F5" s="25" t="s">
        <v>594</v>
      </c>
      <c r="G5" s="25"/>
      <c r="H5" s="8" t="s">
        <v>750</v>
      </c>
      <c r="I5" s="25"/>
    </row>
    <row r="6" spans="1:9" ht="119" x14ac:dyDescent="0.2">
      <c r="A6" s="25" t="s">
        <v>751</v>
      </c>
      <c r="B6" s="25" t="s">
        <v>736</v>
      </c>
      <c r="C6" s="25" t="s">
        <v>752</v>
      </c>
      <c r="D6" s="25">
        <v>1970</v>
      </c>
      <c r="E6" s="25" t="s">
        <v>753</v>
      </c>
      <c r="F6" s="25" t="s">
        <v>594</v>
      </c>
      <c r="G6" s="25"/>
      <c r="H6" s="8" t="s">
        <v>754</v>
      </c>
      <c r="I6" s="25"/>
    </row>
    <row r="7" spans="1:9" ht="102" x14ac:dyDescent="0.2">
      <c r="A7" s="25" t="s">
        <v>755</v>
      </c>
      <c r="B7" s="25" t="s">
        <v>736</v>
      </c>
      <c r="C7" s="25" t="s">
        <v>756</v>
      </c>
      <c r="D7" s="25">
        <v>1984</v>
      </c>
      <c r="E7" s="25" t="s">
        <v>757</v>
      </c>
      <c r="F7" s="25" t="s">
        <v>594</v>
      </c>
      <c r="G7" s="25"/>
      <c r="H7" s="8" t="s">
        <v>758</v>
      </c>
      <c r="I7" s="25"/>
    </row>
    <row r="8" spans="1:9" ht="272" x14ac:dyDescent="0.2">
      <c r="A8" s="25" t="s">
        <v>759</v>
      </c>
      <c r="B8" s="25" t="s">
        <v>736</v>
      </c>
      <c r="C8" s="25" t="s">
        <v>760</v>
      </c>
      <c r="D8" s="25">
        <v>1976</v>
      </c>
      <c r="E8" s="25" t="s">
        <v>235</v>
      </c>
      <c r="F8" s="25" t="s">
        <v>594</v>
      </c>
      <c r="G8" s="25" t="s">
        <v>761</v>
      </c>
      <c r="H8" s="8" t="s">
        <v>762</v>
      </c>
      <c r="I8" s="25"/>
    </row>
    <row r="9" spans="1:9" ht="192" x14ac:dyDescent="0.2">
      <c r="A9" s="25" t="s">
        <v>763</v>
      </c>
      <c r="B9" s="25" t="s">
        <v>736</v>
      </c>
      <c r="C9" s="25" t="s">
        <v>764</v>
      </c>
      <c r="D9" s="25">
        <v>1980</v>
      </c>
      <c r="E9" s="25" t="s">
        <v>765</v>
      </c>
      <c r="F9" s="25" t="s">
        <v>594</v>
      </c>
      <c r="G9" s="25" t="s">
        <v>766</v>
      </c>
      <c r="H9" s="8" t="s">
        <v>767</v>
      </c>
      <c r="I9" s="25"/>
    </row>
    <row r="10" spans="1:9" ht="102" x14ac:dyDescent="0.2">
      <c r="A10" s="25" t="s">
        <v>771</v>
      </c>
      <c r="B10" s="25" t="s">
        <v>736</v>
      </c>
      <c r="C10" s="25" t="s">
        <v>770</v>
      </c>
      <c r="D10" s="25">
        <v>1979</v>
      </c>
      <c r="E10" s="25" t="s">
        <v>775</v>
      </c>
      <c r="F10" s="25"/>
      <c r="G10" s="25" t="s">
        <v>769</v>
      </c>
      <c r="H10" s="8" t="s">
        <v>768</v>
      </c>
      <c r="I10" s="25"/>
    </row>
    <row r="11" spans="1:9" ht="192" x14ac:dyDescent="0.2">
      <c r="A11" s="25" t="s">
        <v>772</v>
      </c>
      <c r="B11" s="25" t="s">
        <v>736</v>
      </c>
      <c r="C11" s="25" t="s">
        <v>699</v>
      </c>
      <c r="D11" s="25">
        <v>2003</v>
      </c>
      <c r="E11" s="25" t="s">
        <v>776</v>
      </c>
      <c r="F11" s="25" t="s">
        <v>594</v>
      </c>
      <c r="G11" s="25" t="s">
        <v>774</v>
      </c>
      <c r="H11" s="8" t="s">
        <v>773</v>
      </c>
      <c r="I11" s="25"/>
    </row>
    <row r="12" spans="1:9" ht="176" x14ac:dyDescent="0.2">
      <c r="A12" s="25" t="s">
        <v>777</v>
      </c>
      <c r="B12" s="25" t="s">
        <v>779</v>
      </c>
      <c r="C12" s="25" t="s">
        <v>778</v>
      </c>
      <c r="D12" s="25">
        <v>1991</v>
      </c>
      <c r="E12" s="25" t="s">
        <v>780</v>
      </c>
      <c r="F12" s="25" t="s">
        <v>594</v>
      </c>
      <c r="G12" s="25" t="s">
        <v>781</v>
      </c>
      <c r="H12" s="8" t="s">
        <v>782</v>
      </c>
      <c r="I12" s="25"/>
    </row>
    <row r="13" spans="1:9" ht="119" x14ac:dyDescent="0.2">
      <c r="A13" s="25" t="s">
        <v>783</v>
      </c>
      <c r="B13" s="25" t="s">
        <v>779</v>
      </c>
      <c r="C13" s="25" t="s">
        <v>784</v>
      </c>
      <c r="D13" s="25">
        <v>1984</v>
      </c>
      <c r="E13" s="25" t="s">
        <v>397</v>
      </c>
      <c r="F13" s="25" t="s">
        <v>594</v>
      </c>
      <c r="G13" s="25" t="s">
        <v>785</v>
      </c>
      <c r="H13" s="8" t="s">
        <v>786</v>
      </c>
      <c r="I13" s="25"/>
    </row>
    <row r="14" spans="1:9" ht="128" x14ac:dyDescent="0.2">
      <c r="A14" s="25" t="s">
        <v>787</v>
      </c>
      <c r="B14" s="25" t="s">
        <v>779</v>
      </c>
      <c r="C14" s="25" t="s">
        <v>788</v>
      </c>
      <c r="D14" s="25">
        <v>1993</v>
      </c>
      <c r="E14" s="25" t="s">
        <v>397</v>
      </c>
      <c r="F14" s="25" t="s">
        <v>594</v>
      </c>
      <c r="G14" s="25" t="s">
        <v>789</v>
      </c>
      <c r="H14" s="8" t="s">
        <v>790</v>
      </c>
      <c r="I14" s="25"/>
    </row>
    <row r="15" spans="1:9" ht="102" x14ac:dyDescent="0.2">
      <c r="A15" s="25" t="s">
        <v>791</v>
      </c>
      <c r="B15" s="25" t="s">
        <v>779</v>
      </c>
      <c r="C15" s="25" t="s">
        <v>792</v>
      </c>
      <c r="D15" s="25">
        <v>2001</v>
      </c>
      <c r="E15" s="25" t="s">
        <v>793</v>
      </c>
      <c r="F15" s="25"/>
      <c r="G15" s="25"/>
      <c r="H15" s="8" t="s">
        <v>794</v>
      </c>
      <c r="I15" s="25"/>
    </row>
    <row r="16" spans="1:9" ht="320" x14ac:dyDescent="0.2">
      <c r="A16" s="25" t="s">
        <v>636</v>
      </c>
      <c r="B16" s="25" t="s">
        <v>779</v>
      </c>
      <c r="C16" s="25" t="s">
        <v>637</v>
      </c>
      <c r="D16" s="25">
        <v>1996</v>
      </c>
      <c r="E16" s="25" t="s">
        <v>110</v>
      </c>
      <c r="F16" s="25" t="s">
        <v>594</v>
      </c>
      <c r="G16" s="25" t="s">
        <v>638</v>
      </c>
      <c r="H16" s="8" t="s">
        <v>712</v>
      </c>
      <c r="I16" s="25"/>
    </row>
    <row r="17" spans="1:9" ht="208" x14ac:dyDescent="0.2">
      <c r="A17" s="25" t="s">
        <v>646</v>
      </c>
      <c r="B17" s="25" t="s">
        <v>779</v>
      </c>
      <c r="C17" s="25" t="s">
        <v>647</v>
      </c>
      <c r="D17" s="25">
        <v>2000</v>
      </c>
      <c r="E17" s="25" t="s">
        <v>46</v>
      </c>
      <c r="F17" s="25" t="s">
        <v>648</v>
      </c>
      <c r="G17" s="25" t="s">
        <v>649</v>
      </c>
      <c r="H17" s="8" t="s">
        <v>716</v>
      </c>
      <c r="I17" s="25"/>
    </row>
    <row r="18" spans="1:9" x14ac:dyDescent="0.2">
      <c r="A18" s="25"/>
      <c r="B18" s="25"/>
      <c r="C18" s="25"/>
      <c r="D18" s="25"/>
      <c r="E18" s="25"/>
      <c r="F18" s="25"/>
      <c r="G18" s="25"/>
      <c r="H18" s="8"/>
      <c r="I18" s="25"/>
    </row>
    <row r="19" spans="1:9" x14ac:dyDescent="0.2">
      <c r="A19" s="25"/>
      <c r="B19" s="25"/>
      <c r="C19" s="25"/>
      <c r="D19" s="25"/>
      <c r="E19" s="25"/>
      <c r="F19" s="25"/>
      <c r="G19" s="25"/>
      <c r="H19" s="8"/>
      <c r="I19" s="25"/>
    </row>
    <row r="20" spans="1:9" x14ac:dyDescent="0.2">
      <c r="A20" s="25"/>
      <c r="B20" s="25"/>
      <c r="C20" s="25"/>
      <c r="D20" s="25"/>
      <c r="E20" s="25"/>
      <c r="F20" s="25"/>
      <c r="G20" s="25"/>
      <c r="H20" s="8"/>
      <c r="I20" s="25"/>
    </row>
    <row r="21" spans="1:9" x14ac:dyDescent="0.2">
      <c r="A21" s="25"/>
      <c r="B21" s="25"/>
      <c r="C21" s="25"/>
      <c r="D21" s="25"/>
      <c r="E21" s="25"/>
      <c r="F21" s="25"/>
      <c r="G21" s="25"/>
      <c r="H21" s="8"/>
      <c r="I21" s="25"/>
    </row>
    <row r="22" spans="1:9" x14ac:dyDescent="0.2">
      <c r="A22" s="25"/>
      <c r="B22" s="25"/>
      <c r="C22" s="25"/>
      <c r="D22" s="25"/>
      <c r="E22" s="25"/>
      <c r="F22" s="25"/>
      <c r="G22" s="25"/>
      <c r="H22" s="8"/>
      <c r="I22" s="25"/>
    </row>
    <row r="23" spans="1:9" x14ac:dyDescent="0.2">
      <c r="A23" s="25"/>
      <c r="B23" s="25"/>
      <c r="C23" s="25"/>
      <c r="D23" s="25"/>
      <c r="E23" s="25"/>
      <c r="F23" s="25"/>
      <c r="G23" s="25"/>
      <c r="H23" s="8"/>
      <c r="I23" s="25"/>
    </row>
    <row r="24" spans="1:9" x14ac:dyDescent="0.2">
      <c r="A24" s="26"/>
      <c r="B24" s="26"/>
      <c r="C24" s="25"/>
      <c r="D24" s="25"/>
      <c r="E24" s="25"/>
      <c r="F24" s="25"/>
      <c r="G24" s="25"/>
      <c r="H24" s="8"/>
      <c r="I24" s="25"/>
    </row>
    <row r="25" spans="1:9" x14ac:dyDescent="0.2">
      <c r="A25" s="25"/>
      <c r="B25" s="25"/>
      <c r="C25" s="25"/>
      <c r="D25" s="25"/>
      <c r="E25" s="25"/>
      <c r="F25" s="25"/>
      <c r="G25" s="25"/>
      <c r="H25" s="8"/>
      <c r="I25" s="25"/>
    </row>
    <row r="26" spans="1:9" x14ac:dyDescent="0.2">
      <c r="A26" s="25"/>
      <c r="B26" s="25"/>
      <c r="C26" s="25"/>
      <c r="D26" s="25"/>
      <c r="E26" s="25"/>
      <c r="F26" s="25"/>
      <c r="G26" s="25"/>
      <c r="H26" s="8"/>
      <c r="I26" s="25"/>
    </row>
    <row r="27" spans="1:9" x14ac:dyDescent="0.2">
      <c r="A27" s="25"/>
      <c r="B27" s="25"/>
      <c r="C27" s="25"/>
      <c r="D27" s="25"/>
      <c r="E27" s="25"/>
      <c r="F27" s="25"/>
      <c r="G27" s="25"/>
      <c r="H27" s="8"/>
      <c r="I27" s="25"/>
    </row>
    <row r="28" spans="1:9" x14ac:dyDescent="0.2">
      <c r="A28" s="25"/>
      <c r="B28" s="25"/>
      <c r="C28" s="25"/>
      <c r="D28" s="25"/>
      <c r="E28" s="25"/>
      <c r="F28" s="25"/>
      <c r="G28" s="25"/>
      <c r="H28" s="8"/>
      <c r="I28" s="25"/>
    </row>
    <row r="29" spans="1:9" x14ac:dyDescent="0.2">
      <c r="A29" s="25"/>
      <c r="B29" s="25"/>
      <c r="C29" s="25"/>
      <c r="D29" s="25"/>
      <c r="E29" s="25"/>
      <c r="F29" s="25"/>
      <c r="G29" s="25"/>
      <c r="H29" s="25"/>
      <c r="I29" s="25"/>
    </row>
    <row r="30" spans="1:9" x14ac:dyDescent="0.2">
      <c r="A30" s="25"/>
      <c r="B30" s="25"/>
      <c r="C30" s="25"/>
      <c r="D30" s="25"/>
      <c r="E30" s="25"/>
      <c r="F30" s="25"/>
      <c r="G30" s="25"/>
      <c r="H30" s="25"/>
      <c r="I30" s="25"/>
    </row>
    <row r="31" spans="1:9" x14ac:dyDescent="0.2">
      <c r="A31" s="25"/>
      <c r="B31" s="25"/>
      <c r="C31" s="25"/>
      <c r="D31" s="25"/>
      <c r="E31" s="25"/>
      <c r="F31" s="25"/>
      <c r="G31" s="25"/>
      <c r="H31" s="25"/>
      <c r="I31" s="25"/>
    </row>
    <row r="32" spans="1:9" x14ac:dyDescent="0.2">
      <c r="A32" s="25"/>
      <c r="B32" s="25"/>
      <c r="C32" s="25"/>
      <c r="D32" s="25"/>
      <c r="E32" s="25"/>
      <c r="F32" s="25"/>
      <c r="G32" s="25"/>
      <c r="H32" s="25"/>
      <c r="I32" s="25"/>
    </row>
    <row r="33" spans="1:9" x14ac:dyDescent="0.2">
      <c r="A33" s="25"/>
      <c r="B33" s="25"/>
      <c r="C33" s="25"/>
      <c r="D33" s="25"/>
      <c r="E33" s="25"/>
      <c r="F33" s="25"/>
      <c r="G33" s="25"/>
      <c r="H33" s="25"/>
      <c r="I33" s="25"/>
    </row>
    <row r="34" spans="1:9" x14ac:dyDescent="0.2">
      <c r="A34" s="25"/>
      <c r="B34" s="25"/>
      <c r="C34" s="25"/>
      <c r="D34" s="25"/>
      <c r="E34" s="25"/>
      <c r="F34" s="25"/>
      <c r="G34" s="25"/>
      <c r="H34" s="25"/>
      <c r="I34" s="25"/>
    </row>
  </sheetData>
  <hyperlinks>
    <hyperlink ref="H2" r:id="rId1" xr:uid="{CB6B7FD4-DC8F-C840-AD8C-A525E007CE17}"/>
    <hyperlink ref="H3" r:id="rId2" xr:uid="{7C3529FA-FDF5-214E-9E81-3029F19B0B5E}"/>
    <hyperlink ref="H4" r:id="rId3" xr:uid="{54601CA7-7A12-124F-8142-76FAF8C54571}"/>
    <hyperlink ref="H5" r:id="rId4" xr:uid="{3BF70562-9481-D547-B272-70FCF95C2239}"/>
    <hyperlink ref="H6" r:id="rId5" xr:uid="{030488AC-6F95-CD4A-9B1F-A74DC46CAD1C}"/>
    <hyperlink ref="H7" r:id="rId6" xr:uid="{13C75E8E-4902-934D-98B5-ACE406C3C426}"/>
    <hyperlink ref="H8" r:id="rId7" xr:uid="{69FBD2AD-BD2B-D341-A681-8105E93B87A0}"/>
    <hyperlink ref="H9" r:id="rId8" xr:uid="{97773067-4A53-304B-B571-EF2275ACF964}"/>
    <hyperlink ref="H10" r:id="rId9" xr:uid="{CA419BEC-662C-234F-9546-5858B9B08DFF}"/>
    <hyperlink ref="H11" r:id="rId10" xr:uid="{F995B862-252B-7E42-9FB3-1EA52DC70778}"/>
    <hyperlink ref="H12" r:id="rId11" xr:uid="{DD0BBE71-B27E-8A45-93E7-591F449D7CED}"/>
    <hyperlink ref="H13" r:id="rId12" xr:uid="{762D4D50-5C24-1D4F-ADD0-C66AF09784A4}"/>
    <hyperlink ref="H14" r:id="rId13" xr:uid="{DD5F0160-71F4-7343-83D4-25B5386F6DA2}"/>
    <hyperlink ref="H15" r:id="rId14" xr:uid="{CB180E1B-74DD-4845-8734-D3F27800FE16}"/>
    <hyperlink ref="H16" r:id="rId15" xr:uid="{4C48FC3A-6006-7646-90A1-03D50F4415DC}"/>
    <hyperlink ref="H17" r:id="rId16" xr:uid="{86DA54D2-3847-5D43-A5E9-0E6A3418DF17}"/>
  </hyperlinks>
  <pageMargins left="0.7" right="0.7" top="0.75" bottom="0.75" header="0.3" footer="0.3"/>
  <tableParts count="1">
    <tablePart r:id="rId1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550C-D311-0C42-8B53-D3917454C963}">
  <dimension ref="A1:L26"/>
  <sheetViews>
    <sheetView topLeftCell="A18" zoomScale="150" workbookViewId="0">
      <pane xSplit="1" topLeftCell="E1" activePane="topRight" state="frozen"/>
      <selection pane="topRight" activeCell="F18" sqref="F18"/>
    </sheetView>
  </sheetViews>
  <sheetFormatPr baseColWidth="10" defaultRowHeight="16" x14ac:dyDescent="0.2"/>
  <cols>
    <col min="1" max="1" width="31.6640625" customWidth="1"/>
    <col min="2" max="2" width="33.33203125" customWidth="1"/>
    <col min="4" max="5" width="43.5" customWidth="1"/>
    <col min="6" max="6" width="72.6640625" customWidth="1"/>
    <col min="7" max="7" width="23.6640625" customWidth="1"/>
    <col min="8" max="8" width="25.5" customWidth="1"/>
    <col min="9" max="9" width="24.1640625" customWidth="1"/>
    <col min="10" max="10" width="12" customWidth="1"/>
    <col min="11" max="11" width="65.1640625" customWidth="1"/>
  </cols>
  <sheetData>
    <row r="1" spans="1:12" ht="17" x14ac:dyDescent="0.2">
      <c r="A1" s="2" t="s">
        <v>13</v>
      </c>
      <c r="B1" s="1" t="s">
        <v>3</v>
      </c>
      <c r="C1" s="1" t="s">
        <v>4</v>
      </c>
      <c r="D1" s="1" t="s">
        <v>12</v>
      </c>
      <c r="E1" s="1" t="s">
        <v>595</v>
      </c>
      <c r="F1" s="1" t="s">
        <v>0</v>
      </c>
      <c r="G1" s="1" t="s">
        <v>11</v>
      </c>
      <c r="H1" s="1" t="s">
        <v>429</v>
      </c>
      <c r="I1" s="1" t="s">
        <v>430</v>
      </c>
      <c r="J1" s="1" t="s">
        <v>8</v>
      </c>
      <c r="K1" s="2" t="s">
        <v>113</v>
      </c>
      <c r="L1" t="s">
        <v>532</v>
      </c>
    </row>
    <row r="2" spans="1:12" ht="255" x14ac:dyDescent="0.2">
      <c r="A2" s="5" t="s">
        <v>493</v>
      </c>
      <c r="B2" s="5" t="s">
        <v>494</v>
      </c>
      <c r="C2" s="5">
        <v>2023</v>
      </c>
      <c r="D2" s="5" t="s">
        <v>495</v>
      </c>
      <c r="E2" s="5" t="s">
        <v>597</v>
      </c>
      <c r="F2" s="5" t="s">
        <v>496</v>
      </c>
      <c r="G2" s="8" t="s">
        <v>497</v>
      </c>
      <c r="H2" s="5"/>
      <c r="I2" s="5"/>
      <c r="J2" s="5">
        <v>1</v>
      </c>
      <c r="K2" s="8" t="s">
        <v>498</v>
      </c>
      <c r="L2" s="5"/>
    </row>
    <row r="3" spans="1:12" ht="238" x14ac:dyDescent="0.2">
      <c r="A3" s="5" t="s">
        <v>233</v>
      </c>
      <c r="B3" s="5" t="s">
        <v>234</v>
      </c>
      <c r="C3" s="5">
        <v>2020</v>
      </c>
      <c r="D3" s="5" t="s">
        <v>235</v>
      </c>
      <c r="E3" s="5" t="s">
        <v>594</v>
      </c>
      <c r="F3" s="5" t="s">
        <v>236</v>
      </c>
      <c r="G3" s="9" t="s">
        <v>237</v>
      </c>
      <c r="H3" s="5"/>
      <c r="I3" s="5"/>
      <c r="J3" s="5">
        <v>2</v>
      </c>
      <c r="K3" s="9" t="s">
        <v>238</v>
      </c>
      <c r="L3" s="5"/>
    </row>
    <row r="4" spans="1:12" ht="153" x14ac:dyDescent="0.2">
      <c r="A4" s="5" t="s">
        <v>543</v>
      </c>
      <c r="B4" s="5" t="s">
        <v>544</v>
      </c>
      <c r="C4" s="5">
        <v>2020</v>
      </c>
      <c r="D4" s="5" t="s">
        <v>545</v>
      </c>
      <c r="E4" s="5" t="s">
        <v>594</v>
      </c>
      <c r="F4" s="5" t="s">
        <v>546</v>
      </c>
      <c r="G4" s="8" t="s">
        <v>547</v>
      </c>
      <c r="H4" s="5"/>
      <c r="I4" s="5"/>
      <c r="J4" s="5">
        <v>3</v>
      </c>
      <c r="K4" s="8" t="s">
        <v>548</v>
      </c>
      <c r="L4" s="5"/>
    </row>
    <row r="5" spans="1:12" ht="255" x14ac:dyDescent="0.2">
      <c r="A5" s="5" t="s">
        <v>239</v>
      </c>
      <c r="B5" s="5" t="s">
        <v>240</v>
      </c>
      <c r="C5" s="5">
        <v>2019</v>
      </c>
      <c r="D5" s="5" t="s">
        <v>46</v>
      </c>
      <c r="E5" s="5" t="s">
        <v>596</v>
      </c>
      <c r="F5" s="5" t="s">
        <v>241</v>
      </c>
      <c r="G5" s="8"/>
      <c r="H5" s="5"/>
      <c r="I5" s="5"/>
      <c r="J5" s="5">
        <v>3</v>
      </c>
      <c r="K5" s="8" t="s">
        <v>242</v>
      </c>
      <c r="L5" s="5"/>
    </row>
    <row r="6" spans="1:12" ht="170" x14ac:dyDescent="0.2">
      <c r="A6" s="5" t="s">
        <v>243</v>
      </c>
      <c r="B6" s="5" t="s">
        <v>244</v>
      </c>
      <c r="C6" s="5">
        <v>2016</v>
      </c>
      <c r="D6" s="5" t="s">
        <v>245</v>
      </c>
      <c r="E6" s="5" t="s">
        <v>594</v>
      </c>
      <c r="F6" s="5" t="s">
        <v>246</v>
      </c>
      <c r="G6" s="8" t="s">
        <v>247</v>
      </c>
      <c r="H6" s="5"/>
      <c r="I6" s="5"/>
      <c r="J6" s="5">
        <v>3</v>
      </c>
      <c r="K6" s="8" t="s">
        <v>248</v>
      </c>
      <c r="L6" s="5"/>
    </row>
    <row r="7" spans="1:12" ht="136" x14ac:dyDescent="0.2">
      <c r="A7" s="5" t="s">
        <v>534</v>
      </c>
      <c r="B7" s="5" t="s">
        <v>535</v>
      </c>
      <c r="C7" s="5">
        <v>2016</v>
      </c>
      <c r="D7" s="5" t="s">
        <v>475</v>
      </c>
      <c r="E7" s="5" t="s">
        <v>594</v>
      </c>
      <c r="F7" s="5" t="s">
        <v>536</v>
      </c>
      <c r="G7" s="8" t="s">
        <v>537</v>
      </c>
      <c r="H7" s="5"/>
      <c r="I7" s="5"/>
      <c r="J7" s="5">
        <v>3</v>
      </c>
      <c r="K7" s="8" t="s">
        <v>538</v>
      </c>
      <c r="L7" s="5"/>
    </row>
    <row r="8" spans="1:12" ht="204" x14ac:dyDescent="0.2">
      <c r="A8" s="5" t="s">
        <v>249</v>
      </c>
      <c r="B8" s="5" t="s">
        <v>250</v>
      </c>
      <c r="C8" s="5">
        <v>2013</v>
      </c>
      <c r="D8" s="5" t="s">
        <v>110</v>
      </c>
      <c r="E8" s="5" t="s">
        <v>594</v>
      </c>
      <c r="F8" s="5" t="s">
        <v>251</v>
      </c>
      <c r="G8" s="8" t="s">
        <v>252</v>
      </c>
      <c r="H8" s="5"/>
      <c r="I8" s="5"/>
      <c r="J8" s="5">
        <v>2</v>
      </c>
      <c r="K8" s="8" t="s">
        <v>253</v>
      </c>
      <c r="L8" s="5"/>
    </row>
    <row r="9" spans="1:12" ht="255" x14ac:dyDescent="0.2">
      <c r="A9" s="5" t="s">
        <v>473</v>
      </c>
      <c r="B9" s="5" t="s">
        <v>474</v>
      </c>
      <c r="C9" s="5">
        <v>2012</v>
      </c>
      <c r="D9" s="5" t="s">
        <v>475</v>
      </c>
      <c r="E9" s="5" t="s">
        <v>594</v>
      </c>
      <c r="F9" s="5" t="s">
        <v>476</v>
      </c>
      <c r="G9" s="8"/>
      <c r="H9" s="5"/>
      <c r="I9" s="5"/>
      <c r="J9" s="5">
        <v>1</v>
      </c>
      <c r="K9" s="8" t="s">
        <v>477</v>
      </c>
      <c r="L9" s="5"/>
    </row>
    <row r="10" spans="1:12" ht="409.6" x14ac:dyDescent="0.2">
      <c r="A10" s="5" t="s">
        <v>254</v>
      </c>
      <c r="B10" s="5" t="s">
        <v>255</v>
      </c>
      <c r="C10" s="5">
        <v>2011</v>
      </c>
      <c r="D10" s="5" t="s">
        <v>257</v>
      </c>
      <c r="E10" s="5" t="s">
        <v>596</v>
      </c>
      <c r="F10" s="5" t="s">
        <v>256</v>
      </c>
      <c r="G10" s="8" t="s">
        <v>258</v>
      </c>
      <c r="H10" s="5"/>
      <c r="I10" s="5"/>
      <c r="J10" s="5">
        <v>2</v>
      </c>
      <c r="K10" s="8" t="s">
        <v>259</v>
      </c>
      <c r="L10" s="5"/>
    </row>
    <row r="11" spans="1:12" ht="409.6" x14ac:dyDescent="0.2">
      <c r="A11" s="5" t="s">
        <v>260</v>
      </c>
      <c r="B11" s="5" t="s">
        <v>472</v>
      </c>
      <c r="C11" s="5">
        <v>2011</v>
      </c>
      <c r="D11" s="5" t="s">
        <v>262</v>
      </c>
      <c r="E11" s="5" t="s">
        <v>594</v>
      </c>
      <c r="F11" s="5" t="s">
        <v>261</v>
      </c>
      <c r="G11" s="8" t="s">
        <v>263</v>
      </c>
      <c r="H11" s="5"/>
      <c r="I11" s="5"/>
      <c r="J11" s="5">
        <v>2</v>
      </c>
      <c r="K11" s="8" t="s">
        <v>264</v>
      </c>
      <c r="L11" s="5"/>
    </row>
    <row r="12" spans="1:12" ht="323" x14ac:dyDescent="0.2">
      <c r="A12" s="5" t="s">
        <v>466</v>
      </c>
      <c r="B12" s="5" t="s">
        <v>467</v>
      </c>
      <c r="C12" s="5">
        <v>2009</v>
      </c>
      <c r="D12" s="5" t="s">
        <v>468</v>
      </c>
      <c r="E12" s="5" t="s">
        <v>594</v>
      </c>
      <c r="F12" s="5" t="s">
        <v>469</v>
      </c>
      <c r="G12" s="8"/>
      <c r="H12" s="5"/>
      <c r="I12" s="5"/>
      <c r="J12" s="5">
        <v>3</v>
      </c>
      <c r="K12" s="8" t="s">
        <v>471</v>
      </c>
      <c r="L12" s="5"/>
    </row>
    <row r="13" spans="1:12" ht="187" x14ac:dyDescent="0.2">
      <c r="A13" s="5" t="s">
        <v>480</v>
      </c>
      <c r="B13" s="5" t="s">
        <v>479</v>
      </c>
      <c r="C13" s="5">
        <v>2009</v>
      </c>
      <c r="D13" s="5" t="s">
        <v>235</v>
      </c>
      <c r="E13" s="5" t="s">
        <v>594</v>
      </c>
      <c r="F13" s="5" t="s">
        <v>478</v>
      </c>
      <c r="G13" s="8" t="s">
        <v>481</v>
      </c>
      <c r="H13" s="5"/>
      <c r="I13" s="5"/>
      <c r="J13" s="5">
        <v>3</v>
      </c>
      <c r="K13" s="8" t="s">
        <v>482</v>
      </c>
      <c r="L13" s="5"/>
    </row>
    <row r="14" spans="1:12" ht="306" x14ac:dyDescent="0.2">
      <c r="A14" s="5" t="s">
        <v>423</v>
      </c>
      <c r="B14" s="5" t="s">
        <v>265</v>
      </c>
      <c r="C14" s="5">
        <v>2007</v>
      </c>
      <c r="D14" s="5" t="s">
        <v>266</v>
      </c>
      <c r="E14" s="5" t="s">
        <v>594</v>
      </c>
      <c r="F14" s="5" t="s">
        <v>267</v>
      </c>
      <c r="G14" s="8" t="s">
        <v>268</v>
      </c>
      <c r="H14" s="5"/>
      <c r="I14" s="5"/>
      <c r="J14" s="5">
        <v>3</v>
      </c>
      <c r="K14" s="8" t="s">
        <v>269</v>
      </c>
      <c r="L14" s="5"/>
    </row>
    <row r="15" spans="1:12" ht="238" x14ac:dyDescent="0.2">
      <c r="A15" s="5" t="s">
        <v>483</v>
      </c>
      <c r="B15" s="5" t="s">
        <v>484</v>
      </c>
      <c r="C15" s="5">
        <v>2007</v>
      </c>
      <c r="D15" s="5" t="s">
        <v>475</v>
      </c>
      <c r="E15" s="5" t="s">
        <v>594</v>
      </c>
      <c r="F15" s="5" t="s">
        <v>485</v>
      </c>
      <c r="G15" s="8" t="s">
        <v>486</v>
      </c>
      <c r="H15" s="5"/>
      <c r="I15" s="5"/>
      <c r="J15" s="5">
        <v>3</v>
      </c>
      <c r="K15" s="8" t="s">
        <v>487</v>
      </c>
      <c r="L15" s="5"/>
    </row>
    <row r="16" spans="1:12" ht="153" x14ac:dyDescent="0.2">
      <c r="A16" s="5" t="s">
        <v>488</v>
      </c>
      <c r="B16" s="5" t="s">
        <v>489</v>
      </c>
      <c r="C16" s="5">
        <v>2007</v>
      </c>
      <c r="D16" s="5" t="s">
        <v>475</v>
      </c>
      <c r="E16" s="5" t="s">
        <v>596</v>
      </c>
      <c r="F16" s="5" t="s">
        <v>490</v>
      </c>
      <c r="G16" s="8" t="s">
        <v>491</v>
      </c>
      <c r="H16" s="5"/>
      <c r="I16" s="5"/>
      <c r="J16" s="5">
        <v>3</v>
      </c>
      <c r="K16" s="8" t="s">
        <v>492</v>
      </c>
      <c r="L16" s="5"/>
    </row>
    <row r="17" spans="1:12" ht="409.5" x14ac:dyDescent="0.2">
      <c r="A17" s="5" t="s">
        <v>567</v>
      </c>
      <c r="B17" s="5" t="s">
        <v>568</v>
      </c>
      <c r="C17" s="5">
        <v>2003</v>
      </c>
      <c r="D17" s="5" t="s">
        <v>397</v>
      </c>
      <c r="E17" s="5" t="s">
        <v>594</v>
      </c>
      <c r="F17" s="5" t="s">
        <v>569</v>
      </c>
      <c r="G17" s="8"/>
      <c r="H17" s="5"/>
      <c r="I17" s="5"/>
      <c r="J17" s="5">
        <v>2</v>
      </c>
      <c r="K17" s="8" t="s">
        <v>570</v>
      </c>
      <c r="L17" s="5" t="s">
        <v>533</v>
      </c>
    </row>
    <row r="18" spans="1:12" ht="221" x14ac:dyDescent="0.2">
      <c r="A18" s="5" t="s">
        <v>583</v>
      </c>
      <c r="B18" s="5" t="s">
        <v>584</v>
      </c>
      <c r="C18" s="5">
        <v>1999</v>
      </c>
      <c r="D18" s="5" t="s">
        <v>585</v>
      </c>
      <c r="E18" s="5" t="s">
        <v>594</v>
      </c>
      <c r="F18" s="5" t="s">
        <v>592</v>
      </c>
      <c r="G18" s="8"/>
      <c r="H18" s="5"/>
      <c r="I18" s="5"/>
      <c r="J18" s="5">
        <v>3</v>
      </c>
      <c r="K18" s="8" t="s">
        <v>591</v>
      </c>
      <c r="L18" s="5" t="s">
        <v>533</v>
      </c>
    </row>
    <row r="19" spans="1:12" x14ac:dyDescent="0.2">
      <c r="G19" s="10"/>
      <c r="K19" s="10"/>
    </row>
    <row r="20" spans="1:12" x14ac:dyDescent="0.2">
      <c r="G20" s="10"/>
      <c r="K20" s="10"/>
    </row>
    <row r="21" spans="1:12" x14ac:dyDescent="0.2">
      <c r="G21" s="10"/>
      <c r="K21" s="10"/>
    </row>
    <row r="22" spans="1:12" x14ac:dyDescent="0.2">
      <c r="G22" s="10"/>
      <c r="K22" s="10"/>
    </row>
    <row r="23" spans="1:12" x14ac:dyDescent="0.2">
      <c r="G23" s="10"/>
      <c r="K23" s="10"/>
    </row>
    <row r="24" spans="1:12" x14ac:dyDescent="0.2">
      <c r="G24" s="10"/>
      <c r="K24" s="10"/>
    </row>
    <row r="25" spans="1:12" x14ac:dyDescent="0.2">
      <c r="G25" s="10"/>
      <c r="K25" s="10"/>
    </row>
    <row r="26" spans="1:12" x14ac:dyDescent="0.2">
      <c r="G26" s="10"/>
      <c r="K26" s="10"/>
    </row>
  </sheetData>
  <hyperlinks>
    <hyperlink ref="G3" r:id="rId1" xr:uid="{5E051D2E-8A51-9C49-98A2-93D6AA6F50D5}"/>
    <hyperlink ref="K3" r:id="rId2" xr:uid="{9CF25073-F57B-7642-99E2-B110DA9D83A0}"/>
    <hyperlink ref="K5" r:id="rId3" xr:uid="{FE5DD0B2-EFA3-374F-B812-56B5D85B7730}"/>
    <hyperlink ref="G6" r:id="rId4" xr:uid="{E7FC474A-99BF-FD41-999E-36632789845F}"/>
    <hyperlink ref="K6" r:id="rId5" xr:uid="{E47795F3-3710-E945-B85D-1EC2EDE54CA2}"/>
    <hyperlink ref="K8" r:id="rId6" xr:uid="{9FD08A96-9DCF-A34C-8A82-ED2E36D5619D}"/>
    <hyperlink ref="G10" r:id="rId7" xr:uid="{8F1A4DDD-1533-7045-B4B7-072CD9399501}"/>
    <hyperlink ref="K14" r:id="rId8" xr:uid="{DA92A0B6-1132-8646-A395-3D4A59F92847}"/>
    <hyperlink ref="K12" r:id="rId9" xr:uid="{AA41A86D-AB86-4C45-A9A7-B04B2679C551}"/>
    <hyperlink ref="K9" r:id="rId10" xr:uid="{3E3C577C-C496-4644-B882-61F1E53BCE42}"/>
    <hyperlink ref="G13" r:id="rId11" xr:uid="{A92F3E09-F7E4-1F4B-9CA7-29B100FA902A}"/>
    <hyperlink ref="K13" r:id="rId12" xr:uid="{EAE1E3ED-A19C-0649-8828-A11D59E4D14F}"/>
    <hyperlink ref="G15" r:id="rId13" xr:uid="{A0F73390-3B9B-CA4E-AE33-25CA94209C38}"/>
    <hyperlink ref="K15" r:id="rId14" xr:uid="{D3305050-626E-9548-8722-31BBE427C6F9}"/>
    <hyperlink ref="G16" r:id="rId15" xr:uid="{A7988CAB-5F79-C14A-B19D-1A9DC67ADAAA}"/>
    <hyperlink ref="K16" r:id="rId16" xr:uid="{7D2EEB1B-5D12-B34A-B4A3-D5FAFB4AF66B}"/>
    <hyperlink ref="G2" r:id="rId17" xr:uid="{A115D294-6534-5448-92F9-E491FB4AA863}"/>
    <hyperlink ref="K2" r:id="rId18" xr:uid="{07BD87B6-32BB-D944-829B-131389FE31F1}"/>
    <hyperlink ref="K7" r:id="rId19" xr:uid="{7A2701BC-C6BA-E94D-8605-C25439B4D5C6}"/>
    <hyperlink ref="K4" r:id="rId20" xr:uid="{3D75FD6D-F44A-D944-A916-9CD3911CACA9}"/>
    <hyperlink ref="G4" r:id="rId21" xr:uid="{5DB764C5-C8A2-984F-ADFD-80678C403475}"/>
    <hyperlink ref="K17" r:id="rId22" xr:uid="{FFC89CFE-9FC1-8A42-B912-A5802A72D8D9}"/>
    <hyperlink ref="K18" r:id="rId23" xr:uid="{26F94C8D-B49D-2E4B-835F-7091716661F3}"/>
  </hyperlinks>
  <pageMargins left="0.7" right="0.7" top="0.75" bottom="0.75" header="0.3" footer="0.3"/>
  <tableParts count="1">
    <tablePart r:id="rId24"/>
  </tableParts>
  <extLst>
    <ext xmlns:x14="http://schemas.microsoft.com/office/spreadsheetml/2009/9/main" uri="{78C0D931-6437-407d-A8EE-F0AAD7539E65}">
      <x14:conditionalFormattings>
        <x14:conditionalFormatting xmlns:xm="http://schemas.microsoft.com/office/excel/2006/main">
          <x14:cfRule type="iconSet" priority="14" id="{B4C8A6C4-B1B7-9C4B-B84E-4693D2280AB2}">
            <x14:iconSet iconSet="3Triangles" showValue="0">
              <x14:cfvo type="percent">
                <xm:f>0</xm:f>
              </x14:cfvo>
              <x14:cfvo type="num">
                <xm:f>2</xm:f>
              </x14:cfvo>
              <x14:cfvo type="num">
                <xm:f>3</xm:f>
              </x14:cfvo>
            </x14:iconSet>
          </x14:cfRule>
          <xm:sqref>J2:J15</xm:sqref>
        </x14:conditionalFormatting>
        <x14:conditionalFormatting xmlns:xm="http://schemas.microsoft.com/office/excel/2006/main">
          <x14:cfRule type="iconSet" priority="1" id="{0B4F1477-D0B2-8743-8721-49B0CAEE014D}">
            <x14:iconSet iconSet="3Triangles" showValue="0">
              <x14:cfvo type="percent">
                <xm:f>0</xm:f>
              </x14:cfvo>
              <x14:cfvo type="num">
                <xm:f>2</xm:f>
              </x14:cfvo>
              <x14:cfvo type="num">
                <xm:f>3</xm:f>
              </x14:cfvo>
            </x14:iconSet>
          </x14:cfRule>
          <xm:sqref>J2:J18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9E597-FF64-4A4E-8508-2E5949A63CAC}">
  <dimension ref="A1:K22"/>
  <sheetViews>
    <sheetView tabSelected="1" zoomScale="150" zoomScaleNormal="120" workbookViewId="0">
      <pane xSplit="3" ySplit="1" topLeftCell="D2" activePane="bottomRight" state="frozen"/>
      <selection pane="topRight" activeCell="D1" sqref="D1"/>
      <selection pane="bottomLeft" activeCell="A2" sqref="A2"/>
      <selection pane="bottomRight" activeCell="B3" sqref="B3"/>
    </sheetView>
  </sheetViews>
  <sheetFormatPr baseColWidth="10" defaultRowHeight="16" x14ac:dyDescent="0.2"/>
  <cols>
    <col min="1" max="1" width="31.33203125" customWidth="1"/>
    <col min="2" max="2" width="32" customWidth="1"/>
    <col min="3" max="3" width="17.6640625" customWidth="1"/>
    <col min="4" max="5" width="26.83203125" customWidth="1"/>
    <col min="6" max="6" width="70.33203125" customWidth="1"/>
    <col min="7" max="7" width="33" customWidth="1"/>
    <col min="8" max="8" width="26" customWidth="1"/>
    <col min="9" max="9" width="25" customWidth="1"/>
    <col min="10" max="10" width="24.1640625" customWidth="1"/>
    <col min="11" max="11" width="31.33203125" customWidth="1"/>
    <col min="12" max="12" width="14.1640625" customWidth="1"/>
    <col min="13" max="13" width="39.1640625" customWidth="1"/>
  </cols>
  <sheetData>
    <row r="1" spans="1:11" ht="17" x14ac:dyDescent="0.2">
      <c r="A1" s="2" t="s">
        <v>13</v>
      </c>
      <c r="B1" s="1" t="s">
        <v>3</v>
      </c>
      <c r="C1" s="1" t="s">
        <v>4</v>
      </c>
      <c r="D1" s="1" t="s">
        <v>12</v>
      </c>
      <c r="E1" s="1" t="s">
        <v>595</v>
      </c>
      <c r="F1" s="1" t="s">
        <v>0</v>
      </c>
      <c r="G1" s="1" t="s">
        <v>429</v>
      </c>
      <c r="H1" s="1" t="s">
        <v>430</v>
      </c>
      <c r="I1" s="1" t="s">
        <v>8</v>
      </c>
      <c r="J1" s="2" t="s">
        <v>113</v>
      </c>
      <c r="K1" t="s">
        <v>532</v>
      </c>
    </row>
    <row r="2" spans="1:11" ht="306" x14ac:dyDescent="0.2">
      <c r="A2" s="5" t="s">
        <v>504</v>
      </c>
      <c r="B2" s="5" t="s">
        <v>505</v>
      </c>
      <c r="C2" s="5">
        <v>2019</v>
      </c>
      <c r="D2" s="5" t="s">
        <v>507</v>
      </c>
      <c r="E2" s="5" t="s">
        <v>594</v>
      </c>
      <c r="F2" s="5" t="s">
        <v>506</v>
      </c>
      <c r="G2" s="5"/>
      <c r="H2" s="5"/>
      <c r="I2" s="5">
        <v>3</v>
      </c>
      <c r="J2" s="8" t="s">
        <v>508</v>
      </c>
      <c r="K2" s="5"/>
    </row>
    <row r="3" spans="1:11" ht="272" x14ac:dyDescent="0.2">
      <c r="A3" s="5" t="s">
        <v>416</v>
      </c>
      <c r="B3" s="5" t="s">
        <v>417</v>
      </c>
      <c r="C3" s="5">
        <v>2018</v>
      </c>
      <c r="D3" s="5" t="s">
        <v>69</v>
      </c>
      <c r="E3" s="5" t="s">
        <v>594</v>
      </c>
      <c r="F3" s="5" t="s">
        <v>431</v>
      </c>
      <c r="G3" s="5"/>
      <c r="H3" s="5"/>
      <c r="I3" s="5">
        <v>3</v>
      </c>
      <c r="J3" s="9" t="s">
        <v>418</v>
      </c>
      <c r="K3" s="5"/>
    </row>
    <row r="4" spans="1:11" ht="153" x14ac:dyDescent="0.2">
      <c r="A4" s="5" t="s">
        <v>419</v>
      </c>
      <c r="B4" s="5" t="s">
        <v>420</v>
      </c>
      <c r="C4" s="5">
        <v>2017</v>
      </c>
      <c r="D4" s="5" t="s">
        <v>245</v>
      </c>
      <c r="E4" s="5" t="s">
        <v>594</v>
      </c>
      <c r="F4" s="5" t="s">
        <v>421</v>
      </c>
      <c r="G4" s="5"/>
      <c r="H4" s="5"/>
      <c r="I4" s="5">
        <v>3</v>
      </c>
      <c r="J4" s="8" t="s">
        <v>422</v>
      </c>
      <c r="K4" s="5"/>
    </row>
    <row r="5" spans="1:11" ht="187" x14ac:dyDescent="0.2">
      <c r="A5" s="5" t="s">
        <v>424</v>
      </c>
      <c r="B5" s="5" t="s">
        <v>425</v>
      </c>
      <c r="C5" s="5">
        <v>2017</v>
      </c>
      <c r="D5" s="5" t="s">
        <v>290</v>
      </c>
      <c r="E5" s="5" t="s">
        <v>594</v>
      </c>
      <c r="F5" s="5" t="s">
        <v>432</v>
      </c>
      <c r="G5" s="5"/>
      <c r="H5" s="5"/>
      <c r="I5" s="5">
        <v>3</v>
      </c>
      <c r="J5" s="8" t="s">
        <v>426</v>
      </c>
      <c r="K5" s="5"/>
    </row>
    <row r="6" spans="1:11" ht="221" x14ac:dyDescent="0.2">
      <c r="A6" s="5" t="s">
        <v>427</v>
      </c>
      <c r="B6" s="5" t="s">
        <v>428</v>
      </c>
      <c r="C6" s="5">
        <v>2017</v>
      </c>
      <c r="D6" s="5" t="s">
        <v>64</v>
      </c>
      <c r="E6" s="5" t="s">
        <v>594</v>
      </c>
      <c r="F6" s="5" t="s">
        <v>433</v>
      </c>
      <c r="G6" s="5"/>
      <c r="H6" s="5"/>
      <c r="I6" s="5">
        <v>3</v>
      </c>
      <c r="J6" s="8" t="s">
        <v>434</v>
      </c>
      <c r="K6" s="5"/>
    </row>
    <row r="7" spans="1:11" ht="272" x14ac:dyDescent="0.2">
      <c r="A7" s="5" t="s">
        <v>435</v>
      </c>
      <c r="B7" s="5" t="s">
        <v>436</v>
      </c>
      <c r="C7" s="5">
        <v>2017</v>
      </c>
      <c r="D7" s="5" t="s">
        <v>64</v>
      </c>
      <c r="E7" s="5" t="s">
        <v>594</v>
      </c>
      <c r="F7" s="5" t="s">
        <v>437</v>
      </c>
      <c r="G7" s="5"/>
      <c r="H7" s="5"/>
      <c r="I7" s="5">
        <v>3</v>
      </c>
      <c r="J7" s="8" t="s">
        <v>438</v>
      </c>
      <c r="K7" s="5"/>
    </row>
    <row r="8" spans="1:11" ht="272" x14ac:dyDescent="0.2">
      <c r="A8" s="5" t="s">
        <v>439</v>
      </c>
      <c r="B8" s="5" t="s">
        <v>440</v>
      </c>
      <c r="C8" s="5">
        <v>2016</v>
      </c>
      <c r="D8" s="5" t="s">
        <v>441</v>
      </c>
      <c r="E8" s="5" t="s">
        <v>597</v>
      </c>
      <c r="F8" s="5" t="s">
        <v>442</v>
      </c>
      <c r="G8" s="5"/>
      <c r="H8" s="5"/>
      <c r="I8" s="5">
        <v>2</v>
      </c>
      <c r="J8" s="8" t="s">
        <v>443</v>
      </c>
      <c r="K8" s="5"/>
    </row>
    <row r="9" spans="1:11" ht="306" x14ac:dyDescent="0.2">
      <c r="A9" s="5" t="s">
        <v>444</v>
      </c>
      <c r="B9" s="5" t="s">
        <v>445</v>
      </c>
      <c r="C9" s="5">
        <v>2015</v>
      </c>
      <c r="D9" s="5" t="s">
        <v>343</v>
      </c>
      <c r="E9" s="5" t="s">
        <v>594</v>
      </c>
      <c r="F9" s="5" t="s">
        <v>446</v>
      </c>
      <c r="G9" s="5"/>
      <c r="H9" s="5"/>
      <c r="I9" s="5">
        <v>2</v>
      </c>
      <c r="J9" s="8" t="s">
        <v>447</v>
      </c>
      <c r="K9" s="5"/>
    </row>
    <row r="10" spans="1:11" ht="221" x14ac:dyDescent="0.2">
      <c r="A10" s="5" t="s">
        <v>448</v>
      </c>
      <c r="B10" s="5" t="s">
        <v>449</v>
      </c>
      <c r="C10" s="5">
        <v>2014</v>
      </c>
      <c r="D10" s="5" t="s">
        <v>262</v>
      </c>
      <c r="E10" s="5" t="s">
        <v>594</v>
      </c>
      <c r="F10" s="5" t="s">
        <v>450</v>
      </c>
      <c r="G10" s="5"/>
      <c r="H10" s="5"/>
      <c r="I10" s="5">
        <v>3</v>
      </c>
      <c r="J10" s="8" t="s">
        <v>451</v>
      </c>
      <c r="K10" s="5"/>
    </row>
    <row r="11" spans="1:11" ht="187" x14ac:dyDescent="0.2">
      <c r="A11" s="5" t="s">
        <v>452</v>
      </c>
      <c r="B11" s="5" t="s">
        <v>454</v>
      </c>
      <c r="C11" s="5">
        <v>2013</v>
      </c>
      <c r="D11" s="5" t="s">
        <v>453</v>
      </c>
      <c r="E11" s="5" t="s">
        <v>594</v>
      </c>
      <c r="F11" s="5" t="s">
        <v>455</v>
      </c>
      <c r="G11" s="5"/>
      <c r="H11" s="5"/>
      <c r="I11" s="5">
        <v>3</v>
      </c>
      <c r="J11" s="8" t="s">
        <v>456</v>
      </c>
      <c r="K11" s="5"/>
    </row>
    <row r="12" spans="1:11" ht="238" x14ac:dyDescent="0.2">
      <c r="A12" s="5" t="s">
        <v>457</v>
      </c>
      <c r="B12" s="5" t="s">
        <v>458</v>
      </c>
      <c r="C12" s="5">
        <v>2004</v>
      </c>
      <c r="D12" s="5" t="s">
        <v>88</v>
      </c>
      <c r="E12" s="5" t="s">
        <v>594</v>
      </c>
      <c r="F12" s="5" t="s">
        <v>459</v>
      </c>
      <c r="G12" s="5"/>
      <c r="H12" s="5"/>
      <c r="I12" s="5">
        <v>1</v>
      </c>
      <c r="J12" s="8" t="s">
        <v>460</v>
      </c>
      <c r="K12" s="5"/>
    </row>
    <row r="13" spans="1:11" ht="221" x14ac:dyDescent="0.2">
      <c r="A13" s="5" t="s">
        <v>509</v>
      </c>
      <c r="B13" s="5" t="s">
        <v>510</v>
      </c>
      <c r="C13" s="5">
        <v>2000</v>
      </c>
      <c r="D13" s="5" t="s">
        <v>511</v>
      </c>
      <c r="E13" s="5" t="s">
        <v>594</v>
      </c>
      <c r="F13" s="5" t="s">
        <v>512</v>
      </c>
      <c r="G13" s="5"/>
      <c r="H13" s="5"/>
      <c r="I13" s="5">
        <v>3</v>
      </c>
      <c r="J13" s="8" t="s">
        <v>513</v>
      </c>
      <c r="K13" s="5"/>
    </row>
    <row r="14" spans="1:11" ht="136" x14ac:dyDescent="0.2">
      <c r="A14" s="5" t="s">
        <v>461</v>
      </c>
      <c r="B14" s="5" t="s">
        <v>462</v>
      </c>
      <c r="C14" s="5">
        <v>1995</v>
      </c>
      <c r="D14" s="5" t="s">
        <v>463</v>
      </c>
      <c r="E14" s="5" t="s">
        <v>594</v>
      </c>
      <c r="F14" s="5" t="s">
        <v>464</v>
      </c>
      <c r="G14" s="5"/>
      <c r="H14" s="5"/>
      <c r="I14" s="5">
        <v>2</v>
      </c>
      <c r="J14" s="8" t="s">
        <v>465</v>
      </c>
      <c r="K14" s="5"/>
    </row>
    <row r="15" spans="1:11" ht="255" x14ac:dyDescent="0.2">
      <c r="A15" s="5" t="s">
        <v>919</v>
      </c>
      <c r="B15" s="5" t="s">
        <v>920</v>
      </c>
      <c r="C15" s="5">
        <v>2019</v>
      </c>
      <c r="D15" s="5" t="s">
        <v>386</v>
      </c>
      <c r="E15" s="5" t="s">
        <v>594</v>
      </c>
      <c r="F15" s="5" t="s">
        <v>921</v>
      </c>
      <c r="G15" s="5"/>
      <c r="H15" s="5"/>
      <c r="I15" s="5"/>
      <c r="J15" s="8" t="s">
        <v>922</v>
      </c>
      <c r="K15" s="5"/>
    </row>
    <row r="16" spans="1:11" ht="153" x14ac:dyDescent="0.2">
      <c r="A16" s="5" t="s">
        <v>925</v>
      </c>
      <c r="B16" s="5" t="s">
        <v>926</v>
      </c>
      <c r="C16" s="5">
        <v>2021</v>
      </c>
      <c r="D16" s="5" t="s">
        <v>245</v>
      </c>
      <c r="E16" s="5" t="s">
        <v>594</v>
      </c>
      <c r="F16" s="5" t="s">
        <v>927</v>
      </c>
      <c r="G16" s="5"/>
      <c r="H16" s="5"/>
      <c r="I16" s="5"/>
      <c r="J16" s="8" t="s">
        <v>924</v>
      </c>
      <c r="K16" s="5"/>
    </row>
    <row r="17" spans="1:11" ht="204" x14ac:dyDescent="0.2">
      <c r="A17" s="5" t="s">
        <v>928</v>
      </c>
      <c r="B17" s="5" t="s">
        <v>930</v>
      </c>
      <c r="C17" s="5">
        <v>2017</v>
      </c>
      <c r="D17" s="5" t="s">
        <v>932</v>
      </c>
      <c r="E17" s="5" t="s">
        <v>594</v>
      </c>
      <c r="F17" s="5" t="s">
        <v>929</v>
      </c>
      <c r="G17" s="5"/>
      <c r="H17" s="5"/>
      <c r="I17" s="5"/>
      <c r="J17" s="8" t="s">
        <v>931</v>
      </c>
      <c r="K17" s="5"/>
    </row>
    <row r="18" spans="1:11" x14ac:dyDescent="0.2">
      <c r="A18" s="5"/>
      <c r="B18" s="5"/>
      <c r="C18" s="5"/>
      <c r="D18" s="5"/>
      <c r="E18" s="5"/>
      <c r="F18" s="5"/>
      <c r="G18" s="5"/>
      <c r="H18" s="5"/>
      <c r="I18" s="5"/>
      <c r="J18" s="8"/>
      <c r="K18" s="5"/>
    </row>
    <row r="19" spans="1:11" x14ac:dyDescent="0.2">
      <c r="A19" s="5"/>
      <c r="B19" s="5"/>
      <c r="C19" s="5"/>
      <c r="D19" s="5"/>
      <c r="E19" s="5"/>
      <c r="F19" s="5"/>
      <c r="G19" s="5"/>
      <c r="H19" s="5"/>
      <c r="I19" s="5"/>
      <c r="J19" s="8"/>
      <c r="K19" s="5"/>
    </row>
    <row r="20" spans="1:11" x14ac:dyDescent="0.2">
      <c r="A20" s="5"/>
      <c r="B20" s="5"/>
      <c r="C20" s="5"/>
      <c r="D20" s="5"/>
      <c r="E20" s="5"/>
      <c r="F20" s="5"/>
      <c r="G20" s="5"/>
      <c r="H20" s="5"/>
      <c r="I20" s="5"/>
      <c r="J20" s="8"/>
      <c r="K20" s="5"/>
    </row>
    <row r="21" spans="1:11" x14ac:dyDescent="0.2">
      <c r="A21" s="5"/>
      <c r="B21" s="5"/>
      <c r="C21" s="5"/>
      <c r="D21" s="5"/>
      <c r="E21" s="5"/>
      <c r="F21" s="5"/>
      <c r="G21" s="5"/>
      <c r="H21" s="5"/>
      <c r="I21" s="5"/>
      <c r="J21" s="8"/>
      <c r="K21" s="5"/>
    </row>
    <row r="22" spans="1:11" x14ac:dyDescent="0.2">
      <c r="A22" s="5"/>
      <c r="B22" s="5"/>
      <c r="C22" s="5"/>
      <c r="D22" s="5"/>
      <c r="E22" s="5"/>
      <c r="F22" s="5"/>
      <c r="G22" s="5"/>
      <c r="H22" s="5"/>
      <c r="I22" s="5"/>
      <c r="J22" s="8"/>
      <c r="K22" s="5"/>
    </row>
  </sheetData>
  <hyperlinks>
    <hyperlink ref="J3" r:id="rId1" xr:uid="{E6D8BD33-A939-1442-8647-C8362C2AE27D}"/>
    <hyperlink ref="J4" r:id="rId2" xr:uid="{842691E2-7EAF-EF47-9C1B-F28D37C06B19}"/>
    <hyperlink ref="J5" r:id="rId3" xr:uid="{6ADE2E15-CB0E-DF46-A93C-351BFA4B368B}"/>
    <hyperlink ref="J6" r:id="rId4" xr:uid="{B42EE202-E0C0-8F49-A0FB-885D35489A34}"/>
    <hyperlink ref="J7" r:id="rId5" xr:uid="{E312C5CB-6F1A-6846-AA05-431E8BDFA2E0}"/>
    <hyperlink ref="J8" r:id="rId6" xr:uid="{0815EEF7-1B85-2E4F-9A10-2CC2EBBED651}"/>
    <hyperlink ref="J9" r:id="rId7" xr:uid="{A1CEB55E-DD0E-8748-A0E3-A961B4426C26}"/>
    <hyperlink ref="J10" r:id="rId8" xr:uid="{9EC1B994-E92F-2644-9484-03A94A752D4E}"/>
    <hyperlink ref="J11" r:id="rId9" xr:uid="{85B0E369-2637-9540-8B5C-935C11BEDA7D}"/>
    <hyperlink ref="J12" r:id="rId10" xr:uid="{C78E89F4-1C74-5144-B3E4-107276AF5977}"/>
    <hyperlink ref="J14" r:id="rId11" xr:uid="{1F03A957-AE7A-2040-9E62-98CFD4C99C88}"/>
    <hyperlink ref="J2" r:id="rId12" xr:uid="{F1FA5B79-3907-1D4C-A99F-FCBA27E332C6}"/>
    <hyperlink ref="J13" r:id="rId13" xr:uid="{951AE929-D624-B748-ABFD-9F32EF261D75}"/>
    <hyperlink ref="J15" r:id="rId14" xr:uid="{3A1BA293-1254-DC45-9B67-3B540CD932A2}"/>
    <hyperlink ref="J16" r:id="rId15" xr:uid="{85E1FD5F-04C7-1448-99FF-0FB1AA4547B6}"/>
    <hyperlink ref="J17" r:id="rId16" xr:uid="{8AFDA8E9-1A9C-F04B-88BF-0171DF2DBA88}"/>
  </hyperlinks>
  <pageMargins left="0.7" right="0.7" top="0.75" bottom="0.75" header="0.3" footer="0.3"/>
  <tableParts count="1">
    <tablePart r:id="rId17"/>
  </tableParts>
  <extLst>
    <ext xmlns:x14="http://schemas.microsoft.com/office/spreadsheetml/2009/9/main" uri="{78C0D931-6437-407d-A8EE-F0AAD7539E65}">
      <x14:conditionalFormattings>
        <x14:conditionalFormatting xmlns:xm="http://schemas.microsoft.com/office/excel/2006/main">
          <x14:cfRule type="iconSet" priority="8" id="{2BB6336B-1F56-664C-AF8F-3D3766D20ADF}">
            <x14:iconSet iconSet="3Triangles" showValue="0">
              <x14:cfvo type="percent">
                <xm:f>0</xm:f>
              </x14:cfvo>
              <x14:cfvo type="num">
                <xm:f>2</xm:f>
              </x14:cfvo>
              <x14:cfvo type="num">
                <xm:f>3</xm:f>
              </x14:cfvo>
            </x14:iconSet>
          </x14:cfRule>
          <xm:sqref>I2:I22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E9E2-7914-4049-9832-CDEB1A045AD2}">
  <dimension ref="A1:L21"/>
  <sheetViews>
    <sheetView zoomScale="150" workbookViewId="0">
      <selection sqref="A1:L1"/>
    </sheetView>
  </sheetViews>
  <sheetFormatPr baseColWidth="10" defaultRowHeight="16" x14ac:dyDescent="0.2"/>
  <cols>
    <col min="1" max="1" width="42.6640625" customWidth="1"/>
    <col min="2" max="2" width="33.33203125" customWidth="1"/>
    <col min="4" max="5" width="35.33203125" customWidth="1"/>
    <col min="6" max="6" width="69.5" customWidth="1"/>
    <col min="7" max="7" width="19" bestFit="1" customWidth="1"/>
    <col min="8" max="8" width="32.83203125" customWidth="1"/>
    <col min="9" max="9" width="26.6640625" customWidth="1"/>
    <col min="10" max="10" width="18" customWidth="1"/>
    <col min="11" max="11" width="26.5" customWidth="1"/>
  </cols>
  <sheetData>
    <row r="1" spans="1:12" ht="17" x14ac:dyDescent="0.2">
      <c r="A1" s="2" t="s">
        <v>13</v>
      </c>
      <c r="B1" s="1" t="s">
        <v>3</v>
      </c>
      <c r="C1" s="1" t="s">
        <v>4</v>
      </c>
      <c r="D1" s="1" t="s">
        <v>12</v>
      </c>
      <c r="E1" s="1" t="s">
        <v>595</v>
      </c>
      <c r="F1" s="1" t="s">
        <v>0</v>
      </c>
      <c r="G1" s="1" t="s">
        <v>11</v>
      </c>
      <c r="H1" s="1" t="s">
        <v>429</v>
      </c>
      <c r="I1" s="1" t="s">
        <v>430</v>
      </c>
      <c r="J1" s="1" t="s">
        <v>8</v>
      </c>
      <c r="K1" s="2" t="s">
        <v>113</v>
      </c>
      <c r="L1" t="s">
        <v>532</v>
      </c>
    </row>
    <row r="2" spans="1:12" ht="340" x14ac:dyDescent="0.2">
      <c r="A2" s="5" t="s">
        <v>322</v>
      </c>
      <c r="B2" s="5" t="s">
        <v>323</v>
      </c>
      <c r="C2" s="5">
        <v>2019</v>
      </c>
      <c r="D2" s="5" t="s">
        <v>324</v>
      </c>
      <c r="E2" s="5" t="s">
        <v>594</v>
      </c>
      <c r="F2" s="5" t="s">
        <v>470</v>
      </c>
      <c r="G2" s="9" t="s">
        <v>325</v>
      </c>
      <c r="H2" s="5"/>
      <c r="I2" s="5"/>
      <c r="J2" s="5">
        <v>3</v>
      </c>
      <c r="K2" s="9" t="s">
        <v>326</v>
      </c>
      <c r="L2" s="5"/>
    </row>
    <row r="3" spans="1:12" ht="409.5" x14ac:dyDescent="0.2">
      <c r="A3" s="5" t="s">
        <v>580</v>
      </c>
      <c r="B3" s="5" t="s">
        <v>586</v>
      </c>
      <c r="C3" s="5">
        <v>2019</v>
      </c>
      <c r="D3" s="5"/>
      <c r="E3" s="5" t="s">
        <v>596</v>
      </c>
      <c r="F3" s="5" t="s">
        <v>581</v>
      </c>
      <c r="G3" s="8"/>
      <c r="H3" s="5"/>
      <c r="I3" s="5"/>
      <c r="J3" s="5">
        <v>2</v>
      </c>
      <c r="K3" s="8" t="s">
        <v>582</v>
      </c>
      <c r="L3" s="5"/>
    </row>
    <row r="4" spans="1:12" ht="409.6" x14ac:dyDescent="0.2">
      <c r="A4" s="5" t="s">
        <v>327</v>
      </c>
      <c r="B4" s="5" t="s">
        <v>328</v>
      </c>
      <c r="C4" s="5">
        <v>2016</v>
      </c>
      <c r="D4" s="5" t="s">
        <v>262</v>
      </c>
      <c r="E4" s="5" t="s">
        <v>594</v>
      </c>
      <c r="F4" s="5" t="s">
        <v>340</v>
      </c>
      <c r="G4" s="8" t="s">
        <v>329</v>
      </c>
      <c r="H4" s="5"/>
      <c r="I4" s="5"/>
      <c r="J4" s="5">
        <v>2</v>
      </c>
      <c r="K4" s="8" t="s">
        <v>330</v>
      </c>
      <c r="L4" s="5"/>
    </row>
    <row r="5" spans="1:12" ht="372" x14ac:dyDescent="0.2">
      <c r="A5" s="5" t="s">
        <v>578</v>
      </c>
      <c r="B5" s="5" t="s">
        <v>575</v>
      </c>
      <c r="C5" s="5">
        <v>2015</v>
      </c>
      <c r="D5" s="5" t="s">
        <v>576</v>
      </c>
      <c r="E5" s="5" t="s">
        <v>596</v>
      </c>
      <c r="F5" s="5" t="s">
        <v>577</v>
      </c>
      <c r="G5" s="8"/>
      <c r="H5" s="5"/>
      <c r="I5" s="5"/>
      <c r="J5" s="5">
        <v>3</v>
      </c>
      <c r="K5" s="8" t="s">
        <v>579</v>
      </c>
      <c r="L5" s="8"/>
    </row>
    <row r="6" spans="1:12" ht="153" x14ac:dyDescent="0.2">
      <c r="A6" s="5" t="s">
        <v>331</v>
      </c>
      <c r="B6" s="5" t="s">
        <v>332</v>
      </c>
      <c r="C6" s="5">
        <v>2013</v>
      </c>
      <c r="D6" s="5" t="s">
        <v>245</v>
      </c>
      <c r="E6" s="5" t="s">
        <v>594</v>
      </c>
      <c r="F6" s="5" t="s">
        <v>333</v>
      </c>
      <c r="G6" s="8" t="s">
        <v>334</v>
      </c>
      <c r="H6" s="5"/>
      <c r="I6" s="5"/>
      <c r="J6" s="5">
        <v>3</v>
      </c>
      <c r="K6" s="8" t="s">
        <v>335</v>
      </c>
      <c r="L6" s="5"/>
    </row>
    <row r="7" spans="1:12" ht="356" x14ac:dyDescent="0.2">
      <c r="A7" s="5" t="s">
        <v>336</v>
      </c>
      <c r="B7" s="5" t="s">
        <v>337</v>
      </c>
      <c r="C7" s="5">
        <v>2011</v>
      </c>
      <c r="D7" s="5"/>
      <c r="E7" s="5" t="s">
        <v>596</v>
      </c>
      <c r="F7" s="5" t="s">
        <v>339</v>
      </c>
      <c r="G7" s="8"/>
      <c r="H7" s="5"/>
      <c r="I7" s="5"/>
      <c r="J7" s="5">
        <v>2</v>
      </c>
      <c r="K7" s="8" t="s">
        <v>338</v>
      </c>
      <c r="L7" s="5"/>
    </row>
    <row r="8" spans="1:12" ht="272" x14ac:dyDescent="0.2">
      <c r="A8" s="5" t="s">
        <v>341</v>
      </c>
      <c r="B8" s="5" t="s">
        <v>342</v>
      </c>
      <c r="C8" s="5">
        <v>2010</v>
      </c>
      <c r="D8" s="5" t="s">
        <v>343</v>
      </c>
      <c r="E8" s="5" t="s">
        <v>594</v>
      </c>
      <c r="F8" s="5" t="s">
        <v>344</v>
      </c>
      <c r="G8" s="8" t="s">
        <v>345</v>
      </c>
      <c r="H8" s="5"/>
      <c r="I8" s="5"/>
      <c r="J8" s="5">
        <v>3</v>
      </c>
      <c r="K8" s="8" t="s">
        <v>346</v>
      </c>
      <c r="L8" s="5"/>
    </row>
    <row r="9" spans="1:12" ht="204" x14ac:dyDescent="0.2">
      <c r="A9" s="5" t="s">
        <v>347</v>
      </c>
      <c r="B9" s="5" t="s">
        <v>348</v>
      </c>
      <c r="C9" s="5">
        <v>2008</v>
      </c>
      <c r="D9" s="5" t="s">
        <v>349</v>
      </c>
      <c r="E9" s="5" t="s">
        <v>594</v>
      </c>
      <c r="F9" s="5" t="s">
        <v>350</v>
      </c>
      <c r="G9" s="8" t="s">
        <v>351</v>
      </c>
      <c r="H9" s="5"/>
      <c r="I9" s="5"/>
      <c r="J9" s="5">
        <v>2</v>
      </c>
      <c r="K9" s="8" t="s">
        <v>352</v>
      </c>
      <c r="L9" s="5"/>
    </row>
    <row r="10" spans="1:12" ht="409.6" x14ac:dyDescent="0.2">
      <c r="A10" s="5" t="s">
        <v>353</v>
      </c>
      <c r="B10" s="5" t="s">
        <v>354</v>
      </c>
      <c r="C10" s="5">
        <v>2007</v>
      </c>
      <c r="D10" s="5" t="s">
        <v>355</v>
      </c>
      <c r="E10" s="5" t="s">
        <v>596</v>
      </c>
      <c r="F10" s="5" t="s">
        <v>356</v>
      </c>
      <c r="G10" s="8" t="s">
        <v>357</v>
      </c>
      <c r="H10" s="5"/>
      <c r="I10" s="5"/>
      <c r="J10" s="5">
        <v>3</v>
      </c>
      <c r="K10" s="8" t="s">
        <v>358</v>
      </c>
      <c r="L10" s="5"/>
    </row>
    <row r="11" spans="1:12" ht="272" x14ac:dyDescent="0.2">
      <c r="A11" s="5" t="s">
        <v>359</v>
      </c>
      <c r="B11" s="5" t="s">
        <v>360</v>
      </c>
      <c r="C11" s="5">
        <v>2003</v>
      </c>
      <c r="D11" s="5" t="s">
        <v>110</v>
      </c>
      <c r="E11" s="5" t="s">
        <v>594</v>
      </c>
      <c r="F11" s="5" t="s">
        <v>361</v>
      </c>
      <c r="G11" s="8"/>
      <c r="H11" s="5"/>
      <c r="I11" s="5"/>
      <c r="J11" s="5">
        <v>3</v>
      </c>
      <c r="K11" s="8" t="s">
        <v>362</v>
      </c>
      <c r="L11" s="5"/>
    </row>
    <row r="12" spans="1:12" ht="323" x14ac:dyDescent="0.2">
      <c r="A12" s="5" t="s">
        <v>363</v>
      </c>
      <c r="B12" s="5" t="s">
        <v>364</v>
      </c>
      <c r="C12" s="5">
        <v>2003</v>
      </c>
      <c r="D12" s="5" t="s">
        <v>245</v>
      </c>
      <c r="E12" s="5" t="s">
        <v>594</v>
      </c>
      <c r="F12" s="5" t="s">
        <v>365</v>
      </c>
      <c r="G12" s="4" t="s">
        <v>367</v>
      </c>
      <c r="H12" s="5"/>
      <c r="I12" s="5"/>
      <c r="J12" s="5">
        <v>2</v>
      </c>
      <c r="K12" s="8" t="s">
        <v>366</v>
      </c>
      <c r="L12" s="5"/>
    </row>
    <row r="13" spans="1:12" ht="187" x14ac:dyDescent="0.2">
      <c r="A13" s="5" t="s">
        <v>368</v>
      </c>
      <c r="B13" s="5" t="s">
        <v>369</v>
      </c>
      <c r="C13" s="5">
        <v>2002</v>
      </c>
      <c r="D13" s="5" t="s">
        <v>84</v>
      </c>
      <c r="E13" s="5" t="s">
        <v>594</v>
      </c>
      <c r="F13" s="5" t="s">
        <v>370</v>
      </c>
      <c r="G13" s="8" t="s">
        <v>371</v>
      </c>
      <c r="H13" s="5"/>
      <c r="I13" s="5"/>
      <c r="J13" s="5">
        <v>3</v>
      </c>
      <c r="K13" s="8" t="s">
        <v>372</v>
      </c>
      <c r="L13" s="5"/>
    </row>
    <row r="14" spans="1:12" ht="204" x14ac:dyDescent="0.2">
      <c r="A14" s="5" t="s">
        <v>373</v>
      </c>
      <c r="B14" s="5" t="s">
        <v>377</v>
      </c>
      <c r="C14" s="5">
        <v>2002</v>
      </c>
      <c r="D14" s="5" t="s">
        <v>374</v>
      </c>
      <c r="E14" s="5" t="s">
        <v>594</v>
      </c>
      <c r="F14" s="5" t="s">
        <v>375</v>
      </c>
      <c r="G14" s="8"/>
      <c r="H14" s="5"/>
      <c r="I14" s="5"/>
      <c r="J14" s="5">
        <v>3</v>
      </c>
      <c r="K14" s="8" t="s">
        <v>376</v>
      </c>
      <c r="L14" s="5"/>
    </row>
    <row r="15" spans="1:12" ht="289" x14ac:dyDescent="0.2">
      <c r="A15" s="5" t="s">
        <v>378</v>
      </c>
      <c r="B15" s="5" t="s">
        <v>379</v>
      </c>
      <c r="C15" s="5">
        <v>2000</v>
      </c>
      <c r="D15" s="5" t="s">
        <v>380</v>
      </c>
      <c r="E15" s="5" t="s">
        <v>594</v>
      </c>
      <c r="F15" s="5" t="s">
        <v>381</v>
      </c>
      <c r="G15" s="10" t="s">
        <v>382</v>
      </c>
      <c r="H15" s="5"/>
      <c r="I15" s="5"/>
      <c r="J15" s="5">
        <v>2</v>
      </c>
      <c r="K15" s="8" t="s">
        <v>383</v>
      </c>
      <c r="L15" s="5"/>
    </row>
    <row r="16" spans="1:12" ht="238" x14ac:dyDescent="0.2">
      <c r="A16" s="5" t="s">
        <v>384</v>
      </c>
      <c r="B16" s="5" t="s">
        <v>385</v>
      </c>
      <c r="C16" s="5">
        <v>1998</v>
      </c>
      <c r="D16" s="5" t="s">
        <v>386</v>
      </c>
      <c r="E16" s="5" t="s">
        <v>594</v>
      </c>
      <c r="F16" s="5" t="s">
        <v>387</v>
      </c>
      <c r="G16" s="8"/>
      <c r="H16" s="5"/>
      <c r="I16" s="5"/>
      <c r="J16" s="5">
        <v>3</v>
      </c>
      <c r="K16" s="8" t="s">
        <v>388</v>
      </c>
      <c r="L16" s="5"/>
    </row>
    <row r="17" spans="1:12" ht="323" x14ac:dyDescent="0.2">
      <c r="A17" s="5" t="s">
        <v>389</v>
      </c>
      <c r="B17" s="5" t="s">
        <v>390</v>
      </c>
      <c r="C17" s="5">
        <v>1997</v>
      </c>
      <c r="D17" s="5" t="s">
        <v>397</v>
      </c>
      <c r="E17" s="5" t="s">
        <v>594</v>
      </c>
      <c r="F17" s="5" t="s">
        <v>391</v>
      </c>
      <c r="G17" s="8" t="s">
        <v>392</v>
      </c>
      <c r="H17" s="5"/>
      <c r="I17" s="5"/>
      <c r="J17" s="5">
        <v>3</v>
      </c>
      <c r="K17" s="8" t="s">
        <v>393</v>
      </c>
      <c r="L17" s="5"/>
    </row>
    <row r="18" spans="1:12" ht="187" x14ac:dyDescent="0.2">
      <c r="A18" s="5" t="s">
        <v>394</v>
      </c>
      <c r="B18" s="5" t="s">
        <v>395</v>
      </c>
      <c r="C18" s="5">
        <v>1994</v>
      </c>
      <c r="D18" s="5" t="s">
        <v>396</v>
      </c>
      <c r="E18" s="5" t="s">
        <v>594</v>
      </c>
      <c r="F18" s="5" t="s">
        <v>398</v>
      </c>
      <c r="G18" s="8" t="s">
        <v>400</v>
      </c>
      <c r="H18" s="5"/>
      <c r="I18" s="5"/>
      <c r="J18" s="5">
        <v>3</v>
      </c>
      <c r="K18" s="8" t="s">
        <v>399</v>
      </c>
      <c r="L18" s="5"/>
    </row>
    <row r="19" spans="1:12" ht="409.5" x14ac:dyDescent="0.2">
      <c r="A19" s="5" t="s">
        <v>406</v>
      </c>
      <c r="B19" s="5" t="s">
        <v>407</v>
      </c>
      <c r="C19" s="5">
        <v>1991</v>
      </c>
      <c r="D19" s="5" t="s">
        <v>110</v>
      </c>
      <c r="E19" s="5" t="s">
        <v>594</v>
      </c>
      <c r="F19" s="5" t="s">
        <v>408</v>
      </c>
      <c r="G19" s="8" t="s">
        <v>409</v>
      </c>
      <c r="H19" s="5"/>
      <c r="I19" s="5"/>
      <c r="J19" s="5">
        <v>3</v>
      </c>
      <c r="K19" s="8" t="s">
        <v>410</v>
      </c>
      <c r="L19" s="5"/>
    </row>
    <row r="20" spans="1:12" ht="356" x14ac:dyDescent="0.2">
      <c r="A20" s="5" t="s">
        <v>411</v>
      </c>
      <c r="B20" s="5" t="s">
        <v>412</v>
      </c>
      <c r="C20" s="5">
        <v>1991</v>
      </c>
      <c r="D20" s="5" t="s">
        <v>413</v>
      </c>
      <c r="E20" s="5" t="s">
        <v>594</v>
      </c>
      <c r="F20" s="5" t="s">
        <v>414</v>
      </c>
      <c r="G20" s="8"/>
      <c r="H20" s="5"/>
      <c r="I20" s="5"/>
      <c r="J20" s="5">
        <v>3</v>
      </c>
      <c r="K20" s="8" t="s">
        <v>415</v>
      </c>
      <c r="L20" s="5"/>
    </row>
    <row r="21" spans="1:12" ht="409.5" x14ac:dyDescent="0.2">
      <c r="A21" s="5" t="s">
        <v>401</v>
      </c>
      <c r="B21" s="5" t="s">
        <v>402</v>
      </c>
      <c r="C21" s="5">
        <v>1991</v>
      </c>
      <c r="D21" s="5" t="s">
        <v>110</v>
      </c>
      <c r="E21" s="5" t="s">
        <v>594</v>
      </c>
      <c r="F21" s="5" t="s">
        <v>403</v>
      </c>
      <c r="G21" s="8" t="s">
        <v>404</v>
      </c>
      <c r="H21" s="5"/>
      <c r="I21" s="5"/>
      <c r="J21" s="5">
        <v>2</v>
      </c>
      <c r="K21" s="8" t="s">
        <v>405</v>
      </c>
      <c r="L21" s="5"/>
    </row>
  </sheetData>
  <hyperlinks>
    <hyperlink ref="G2" r:id="rId1" xr:uid="{2854F3D9-80AC-8849-811F-BD8D53B0BC76}"/>
    <hyperlink ref="K2" r:id="rId2" xr:uid="{553D59FE-CE85-824B-8CD2-A7EC45F552FD}"/>
    <hyperlink ref="K4" r:id="rId3" xr:uid="{E139180E-F93D-8141-8EB8-2DFA459F9ACE}"/>
    <hyperlink ref="G6" r:id="rId4" xr:uid="{CF467A60-11A2-2745-B49C-079A47640700}"/>
    <hyperlink ref="K6" r:id="rId5" xr:uid="{8B97049D-21A7-1140-BF45-75244669C1F1}"/>
    <hyperlink ref="K7" r:id="rId6" xr:uid="{CC0507EB-B3AB-B14F-AA4A-3615C1EC5D12}"/>
    <hyperlink ref="G8" r:id="rId7" xr:uid="{014E7580-712A-4144-8B28-B7595E6BD425}"/>
    <hyperlink ref="K8" r:id="rId8" xr:uid="{1228A3DA-6729-6849-A28A-3CD25AB9FA0F}"/>
    <hyperlink ref="K9" r:id="rId9" xr:uid="{58E9A66E-E641-D54E-8747-631DE7B861F4}"/>
    <hyperlink ref="K10" r:id="rId10" xr:uid="{0B23576E-4D66-ED45-831D-B2DFAE0A5451}"/>
    <hyperlink ref="K11" r:id="rId11" xr:uid="{7271BFC5-B673-384C-823A-A1E8DC399452}"/>
    <hyperlink ref="K12" r:id="rId12" xr:uid="{76668C5D-3EEA-BE49-BC15-0FE494097270}"/>
    <hyperlink ref="G12" r:id="rId13" xr:uid="{AC57CE0E-F10A-3246-943C-94919820B202}"/>
    <hyperlink ref="G13" r:id="rId14" xr:uid="{BE3A31D8-716E-474F-82E1-82E38BE26081}"/>
    <hyperlink ref="K13" r:id="rId15" xr:uid="{3B8C16B0-EC7D-6B47-85E5-988B4808BC49}"/>
    <hyperlink ref="K14" r:id="rId16" xr:uid="{379C8021-D2CA-9841-B8CB-D533123CD398}"/>
    <hyperlink ref="G15" r:id="rId17" tooltip="Persistent link using digital object identifier" xr:uid="{3C0E58DD-1DB5-2947-B4D4-9156DAF2604F}"/>
    <hyperlink ref="K15" r:id="rId18" xr:uid="{12B86B53-6462-CE4A-9D8A-005E68EABE0E}"/>
    <hyperlink ref="K16" r:id="rId19" xr:uid="{75458F21-C440-4746-9C5C-E80A758C773C}"/>
    <hyperlink ref="G17" r:id="rId20" xr:uid="{68DE58B1-856D-4B4B-A434-866020C7E13D}"/>
    <hyperlink ref="K17" r:id="rId21" xr:uid="{5EA1095B-054C-7B46-8E88-090F7B9D7588}"/>
    <hyperlink ref="K18" r:id="rId22" xr:uid="{AE4182DB-BAC6-6E4B-AC33-D8036DCE6AC4}"/>
    <hyperlink ref="G18" r:id="rId23" xr:uid="{C8A308ED-2E3F-5145-B21D-63A39C59489C}"/>
    <hyperlink ref="G21" r:id="rId24" xr:uid="{D5684DCC-B4D0-2248-B12C-45B14C805EED}"/>
    <hyperlink ref="K21" r:id="rId25" xr:uid="{50E8034F-FFFB-9347-8FB4-516D91BC6591}"/>
    <hyperlink ref="K19" r:id="rId26" xr:uid="{E6F13B55-E7D8-5543-8AEF-A003EE9F8211}"/>
    <hyperlink ref="K20" r:id="rId27" xr:uid="{56802269-BE89-5044-AE4E-AA47286276D3}"/>
    <hyperlink ref="K5" r:id="rId28" xr:uid="{DB9C9A64-2335-C047-B5FF-3DDAE676E30D}"/>
    <hyperlink ref="K3" r:id="rId29" xr:uid="{BC0704BB-2184-364F-84E6-AD211FF9A975}"/>
  </hyperlinks>
  <pageMargins left="0.7" right="0.7" top="0.75" bottom="0.75" header="0.3" footer="0.3"/>
  <tableParts count="1">
    <tablePart r:id="rId30"/>
  </tableParts>
  <extLst>
    <ext xmlns:x14="http://schemas.microsoft.com/office/spreadsheetml/2009/9/main" uri="{78C0D931-6437-407d-A8EE-F0AAD7539E65}">
      <x14:conditionalFormattings>
        <x14:conditionalFormatting xmlns:xm="http://schemas.microsoft.com/office/excel/2006/main">
          <x14:cfRule type="iconSet" priority="10" id="{6F1F7910-22E2-BF48-B2E9-2652D591991E}">
            <x14:iconSet iconSet="3Triangles" showValue="0">
              <x14:cfvo type="percent">
                <xm:f>0</xm:f>
              </x14:cfvo>
              <x14:cfvo type="num">
                <xm:f>2</xm:f>
              </x14:cfvo>
              <x14:cfvo type="num">
                <xm:f>3</xm:f>
              </x14:cfvo>
            </x14:iconSet>
          </x14:cfRule>
          <xm:sqref>J2:J21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67A8E-FF27-944F-897E-BD41F7AC8244}">
  <dimension ref="A1:J7"/>
  <sheetViews>
    <sheetView topLeftCell="A2" workbookViewId="0">
      <selection activeCell="A4" sqref="A4:XFD4"/>
    </sheetView>
  </sheetViews>
  <sheetFormatPr baseColWidth="10" defaultRowHeight="16" x14ac:dyDescent="0.2"/>
  <cols>
    <col min="1" max="1" width="28.5" customWidth="1"/>
    <col min="2" max="3" width="18.33203125" customWidth="1"/>
    <col min="5" max="5" width="27.83203125" customWidth="1"/>
    <col min="6" max="6" width="19.1640625" customWidth="1"/>
    <col min="7" max="7" width="47.33203125" customWidth="1"/>
    <col min="8" max="8" width="12" customWidth="1"/>
    <col min="9" max="9" width="27.6640625" customWidth="1"/>
    <col min="10" max="10" width="12.33203125" customWidth="1"/>
  </cols>
  <sheetData>
    <row r="1" spans="1:10" ht="17" x14ac:dyDescent="0.2">
      <c r="A1" s="34" t="s">
        <v>13</v>
      </c>
      <c r="B1" s="35" t="s">
        <v>3</v>
      </c>
      <c r="C1" s="35" t="s">
        <v>707</v>
      </c>
      <c r="D1" s="35" t="s">
        <v>4</v>
      </c>
      <c r="E1" s="35" t="s">
        <v>12</v>
      </c>
      <c r="F1" s="35" t="s">
        <v>595</v>
      </c>
      <c r="G1" s="35" t="s">
        <v>0</v>
      </c>
      <c r="H1" s="35" t="s">
        <v>8</v>
      </c>
      <c r="I1" s="34" t="s">
        <v>113</v>
      </c>
      <c r="J1" s="36" t="s">
        <v>532</v>
      </c>
    </row>
    <row r="2" spans="1:10" ht="409.6" x14ac:dyDescent="0.2">
      <c r="A2" s="37" t="s">
        <v>872</v>
      </c>
      <c r="B2" s="37" t="s">
        <v>874</v>
      </c>
      <c r="C2" s="37" t="s">
        <v>875</v>
      </c>
      <c r="D2" s="37">
        <v>2020</v>
      </c>
      <c r="E2" s="37" t="s">
        <v>290</v>
      </c>
      <c r="F2" s="37" t="s">
        <v>594</v>
      </c>
      <c r="G2" s="37" t="s">
        <v>876</v>
      </c>
      <c r="H2" s="37"/>
      <c r="I2" s="9" t="s">
        <v>873</v>
      </c>
      <c r="J2" s="37"/>
    </row>
    <row r="3" spans="1:10" ht="272" x14ac:dyDescent="0.2">
      <c r="A3" s="5" t="s">
        <v>908</v>
      </c>
      <c r="B3" s="5" t="s">
        <v>909</v>
      </c>
      <c r="C3" s="32" t="s">
        <v>910</v>
      </c>
      <c r="D3" s="5">
        <v>2018</v>
      </c>
      <c r="E3" s="5" t="s">
        <v>911</v>
      </c>
      <c r="F3" s="5" t="s">
        <v>597</v>
      </c>
      <c r="G3" s="5" t="s">
        <v>912</v>
      </c>
      <c r="H3" s="5"/>
      <c r="I3" s="8" t="s">
        <v>913</v>
      </c>
      <c r="J3" s="5"/>
    </row>
    <row r="4" spans="1:10" x14ac:dyDescent="0.2">
      <c r="A4" s="5"/>
      <c r="B4" s="5"/>
      <c r="C4" s="32"/>
      <c r="D4" s="5"/>
      <c r="E4" s="5"/>
      <c r="F4" s="5"/>
      <c r="G4" s="5"/>
      <c r="H4" s="5"/>
      <c r="I4" s="8"/>
      <c r="J4" s="5"/>
    </row>
    <row r="5" spans="1:10" x14ac:dyDescent="0.2">
      <c r="A5" s="5"/>
      <c r="B5" s="5"/>
      <c r="C5" s="32"/>
      <c r="D5" s="5"/>
      <c r="E5" s="5"/>
      <c r="F5" s="5"/>
      <c r="G5" s="5"/>
      <c r="H5" s="5"/>
      <c r="I5" s="8"/>
      <c r="J5" s="5"/>
    </row>
    <row r="6" spans="1:10" x14ac:dyDescent="0.2">
      <c r="A6" s="5"/>
      <c r="B6" s="5"/>
      <c r="C6" s="32"/>
      <c r="D6" s="5"/>
      <c r="E6" s="5"/>
      <c r="F6" s="5"/>
      <c r="G6" s="5"/>
      <c r="H6" s="5"/>
      <c r="I6" s="8"/>
      <c r="J6" s="5"/>
    </row>
    <row r="7" spans="1:10" x14ac:dyDescent="0.2">
      <c r="A7" s="5"/>
      <c r="B7" s="5"/>
      <c r="C7" s="32"/>
      <c r="D7" s="5"/>
      <c r="E7" s="5"/>
      <c r="F7" s="5"/>
      <c r="G7" s="5"/>
      <c r="H7" s="5"/>
      <c r="I7" s="8"/>
      <c r="J7" s="5"/>
    </row>
  </sheetData>
  <hyperlinks>
    <hyperlink ref="I2" r:id="rId1" xr:uid="{C331B32A-AA90-474F-BD73-17C9DBDDE766}"/>
    <hyperlink ref="I3" r:id="rId2" xr:uid="{91783BA4-297D-8147-8DF5-1E031E02BF37}"/>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5083B-93D3-2C47-B0A2-2D8EBB565AE4}">
  <dimension ref="B2:K13"/>
  <sheetViews>
    <sheetView workbookViewId="0">
      <selection activeCell="C13" sqref="C13"/>
    </sheetView>
  </sheetViews>
  <sheetFormatPr baseColWidth="10" defaultRowHeight="16" x14ac:dyDescent="0.2"/>
  <cols>
    <col min="1" max="1" width="4.33203125" style="12" customWidth="1"/>
    <col min="2" max="2" width="27.1640625" style="12" bestFit="1" customWidth="1"/>
    <col min="3" max="4" width="10.83203125" style="12"/>
    <col min="5" max="5" width="27.1640625" style="12" bestFit="1" customWidth="1"/>
    <col min="6" max="16384" width="10.83203125" style="12"/>
  </cols>
  <sheetData>
    <row r="2" spans="2:11" ht="27" x14ac:dyDescent="0.35">
      <c r="B2" s="14" t="s">
        <v>516</v>
      </c>
      <c r="C2" s="14"/>
      <c r="D2" s="14"/>
      <c r="E2" s="14"/>
      <c r="F2" s="14"/>
      <c r="G2" s="14"/>
      <c r="H2" s="14"/>
      <c r="I2" s="14"/>
      <c r="J2" s="14"/>
      <c r="K2" s="14"/>
    </row>
    <row r="3" spans="2:11" ht="4" customHeight="1" x14ac:dyDescent="0.25">
      <c r="B3" s="13"/>
      <c r="C3" s="13"/>
      <c r="E3" s="13"/>
      <c r="F3" s="13"/>
    </row>
    <row r="4" spans="2:11" ht="19" x14ac:dyDescent="0.25">
      <c r="B4" s="27" t="s">
        <v>515</v>
      </c>
      <c r="C4" s="28"/>
      <c r="E4" s="27" t="s">
        <v>522</v>
      </c>
      <c r="F4" s="29"/>
      <c r="G4" s="28"/>
      <c r="I4" s="27" t="s">
        <v>554</v>
      </c>
      <c r="J4" s="29"/>
      <c r="K4" s="24"/>
    </row>
    <row r="5" spans="2:11" x14ac:dyDescent="0.2">
      <c r="B5" s="15" t="s">
        <v>556</v>
      </c>
      <c r="C5" s="16">
        <f>ROWS(Proximity[])</f>
        <v>46</v>
      </c>
      <c r="E5" s="15" t="s">
        <v>523</v>
      </c>
      <c r="F5" s="12">
        <f>COUNTIF(Proximity[Relevance],3) + COUNTIF(Success[Relevance],3) + COUNTIF(Support[Relevance],3) + COUNTIF(Ecosystem[Relevance],3) + COUNTIF(Network[Relevance],3)</f>
        <v>55</v>
      </c>
      <c r="G5" s="21">
        <f>F5/$C$13</f>
        <v>0.25821596244131456</v>
      </c>
      <c r="I5" s="15" t="s">
        <v>555</v>
      </c>
      <c r="J5" s="12">
        <f>COUNTIF(Proximity[Reviewed?],"DONE") + COUNTIF(Success[Reviewed?],"DONE") + COUNTIF(Support[Reviewed?],"DONE") + COUNTIF(Ecosystem[Reviewed?],"DONE") + COUNTIF(Network[Reviewed?],"DONE")</f>
        <v>29</v>
      </c>
      <c r="K5" s="21">
        <f>J5/$C$13</f>
        <v>0.13615023474178403</v>
      </c>
    </row>
    <row r="6" spans="2:11" x14ac:dyDescent="0.2">
      <c r="B6" s="15" t="s">
        <v>517</v>
      </c>
      <c r="C6" s="16">
        <f>ROWS(Success[])</f>
        <v>27</v>
      </c>
      <c r="E6" s="15" t="s">
        <v>524</v>
      </c>
      <c r="F6" s="12">
        <f>COUNTIF(Proximity[Relevance],2) + COUNTIF(Success[Relevance],2) + COUNTIF(Support[Relevance],2) + COUNTIF(Ecosystem[Relevance],2) + COUNTIF(Network[Relevance],2)</f>
        <v>40</v>
      </c>
      <c r="G6" s="21">
        <f t="shared" ref="G6:G7" si="0">F6/$C$13</f>
        <v>0.18779342723004694</v>
      </c>
      <c r="I6" s="19" t="s">
        <v>553</v>
      </c>
      <c r="J6" s="22">
        <f>C13-J5</f>
        <v>184</v>
      </c>
      <c r="K6" s="23">
        <f>J6/$C$13</f>
        <v>0.863849765258216</v>
      </c>
    </row>
    <row r="7" spans="2:11" x14ac:dyDescent="0.2">
      <c r="B7" s="15" t="s">
        <v>518</v>
      </c>
      <c r="C7" s="16">
        <f>ROWS(Support[])</f>
        <v>17</v>
      </c>
      <c r="E7" s="19" t="s">
        <v>525</v>
      </c>
      <c r="F7" s="22">
        <f>COUNTIF(Proximity[Relevance],1) + COUNTIF(Success[Relevance],1) + COUNTIF(Support[Relevance],1) + COUNTIF(Ecosystem[Relevance],1) + COUNTIF(Network[Relevance],1)</f>
        <v>18</v>
      </c>
      <c r="G7" s="23">
        <f t="shared" si="0"/>
        <v>8.4507042253521125E-2</v>
      </c>
    </row>
    <row r="8" spans="2:11" x14ac:dyDescent="0.2">
      <c r="B8" s="15" t="s">
        <v>826</v>
      </c>
      <c r="C8" s="16">
        <f>ROWS(VentureCapital[])</f>
        <v>50</v>
      </c>
      <c r="E8" s="30"/>
      <c r="F8" s="30"/>
      <c r="G8" s="31"/>
    </row>
    <row r="9" spans="2:11" x14ac:dyDescent="0.2">
      <c r="B9" s="15" t="s">
        <v>923</v>
      </c>
      <c r="C9" s="16">
        <f>ROWS(StartupFinancing[])</f>
        <v>5</v>
      </c>
      <c r="E9" s="30"/>
      <c r="F9" s="30"/>
      <c r="G9" s="31"/>
    </row>
    <row r="10" spans="2:11" x14ac:dyDescent="0.2">
      <c r="B10" s="15" t="s">
        <v>827</v>
      </c>
      <c r="C10" s="16">
        <f>ROWS(VCTheory[])</f>
        <v>27</v>
      </c>
      <c r="E10" s="30"/>
      <c r="F10" s="30"/>
      <c r="G10" s="31"/>
    </row>
    <row r="11" spans="2:11" x14ac:dyDescent="0.2">
      <c r="B11" s="15" t="s">
        <v>519</v>
      </c>
      <c r="C11" s="16">
        <f>ROWS(Ecosystem[])</f>
        <v>21</v>
      </c>
    </row>
    <row r="12" spans="2:11" ht="17" thickBot="1" x14ac:dyDescent="0.25">
      <c r="B12" s="17" t="s">
        <v>520</v>
      </c>
      <c r="C12" s="18">
        <f>ROWS(Network[])</f>
        <v>20</v>
      </c>
    </row>
    <row r="13" spans="2:11" ht="17" thickTop="1" x14ac:dyDescent="0.2">
      <c r="B13" s="19" t="s">
        <v>521</v>
      </c>
      <c r="C13" s="20">
        <f>SUM(C5:C12)</f>
        <v>213</v>
      </c>
    </row>
  </sheetData>
  <mergeCells count="3">
    <mergeCell ref="B4:C4"/>
    <mergeCell ref="E4:G4"/>
    <mergeCell ref="I4:J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Proximity</vt:lpstr>
      <vt:lpstr>Startup-Success</vt:lpstr>
      <vt:lpstr>Venture Capital</vt:lpstr>
      <vt:lpstr>Startup-Financing</vt:lpstr>
      <vt:lpstr>VC Theory</vt:lpstr>
      <vt:lpstr>VC-Support</vt:lpstr>
      <vt:lpstr>Ecosystem</vt:lpstr>
      <vt:lpstr>Startup Network</vt:lpstr>
      <vt:lpstr>Other</vt:lpstr>
      <vt:lpstr>Paper-Analysis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Linzner</dc:creator>
  <cp:lastModifiedBy>Jan Linzner</cp:lastModifiedBy>
  <dcterms:created xsi:type="dcterms:W3CDTF">2025-06-12T14:37:42Z</dcterms:created>
  <dcterms:modified xsi:type="dcterms:W3CDTF">2025-07-14T07:57:46Z</dcterms:modified>
</cp:coreProperties>
</file>