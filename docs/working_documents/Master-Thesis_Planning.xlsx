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filterPrivacy="1" codeName="ThisWorkbook"/>
  <xr:revisionPtr revIDLastSave="0" documentId="13_ncr:1_{B69C3F5F-6107-DF4D-AB5C-2EFFE568B3FF}" xr6:coauthVersionLast="47" xr6:coauthVersionMax="47" xr10:uidLastSave="{00000000-0000-0000-0000-000000000000}"/>
  <bookViews>
    <workbookView xWindow="0" yWindow="740" windowWidth="29400" windowHeight="18380" xr2:uid="{00000000-000D-0000-FFFF-FFFF00000000}"/>
  </bookViews>
  <sheets>
    <sheet name="Projektplan" sheetId="11" r:id="rId1"/>
    <sheet name="Info" sheetId="12" r:id="rId2"/>
  </sheets>
  <definedNames>
    <definedName name="Anzeigewoche">Projektplan!$D$4</definedName>
    <definedName name="Heute" localSheetId="0">TODAY()</definedName>
    <definedName name="_xlnm.Print_Titles" localSheetId="0">Projektplan!$4:$6</definedName>
    <definedName name="Projektanfang">Projektplan!$D$3</definedName>
    <definedName name="task_end" localSheetId="0">Projektplan!$E1</definedName>
    <definedName name="task_progress" localSheetId="0">Projektplan!$C1</definedName>
    <definedName name="task_start" localSheetId="0">Projektplan!$D1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5" i="11" l="1"/>
  <c r="E29" i="11"/>
  <c r="D29" i="11"/>
  <c r="E28" i="11"/>
  <c r="E32" i="11"/>
  <c r="D33" i="11" s="1"/>
  <c r="E33" i="11" s="1"/>
  <c r="D34" i="11" s="1"/>
  <c r="E34" i="11" s="1"/>
  <c r="D36" i="11" s="1"/>
  <c r="E36" i="11" s="1"/>
  <c r="D37" i="11" s="1"/>
  <c r="E27" i="11"/>
  <c r="G7" i="11"/>
  <c r="E37" i="11" l="1"/>
  <c r="D38" i="11" s="1"/>
  <c r="E38" i="11" s="1"/>
  <c r="D39" i="11" s="1"/>
  <c r="E39" i="11" s="1"/>
  <c r="D9" i="11"/>
  <c r="D28" i="11" l="1"/>
  <c r="G28" i="11" s="1"/>
  <c r="E9" i="11"/>
  <c r="H5" i="11"/>
  <c r="H6" i="11" s="1"/>
  <c r="G41" i="11"/>
  <c r="G40" i="11"/>
  <c r="G34" i="11"/>
  <c r="G33" i="11"/>
  <c r="G31" i="11"/>
  <c r="G27" i="11"/>
  <c r="G26" i="11"/>
  <c r="G16" i="11"/>
  <c r="G8" i="11"/>
  <c r="D10" i="11" l="1"/>
  <c r="E10" i="11" s="1"/>
  <c r="D11" i="11" s="1"/>
  <c r="E11" i="11" s="1"/>
  <c r="D12" i="11" s="1"/>
  <c r="E12" i="11" s="1"/>
  <c r="D13" i="11" s="1"/>
  <c r="E13" i="11" s="1"/>
  <c r="G9" i="11"/>
  <c r="G32" i="11" l="1"/>
  <c r="G10" i="11"/>
  <c r="D30" i="11"/>
  <c r="E30" i="11" s="1"/>
  <c r="G29" i="11"/>
  <c r="D14" i="11"/>
  <c r="E14" i="11" s="1"/>
  <c r="D15" i="11" s="1"/>
  <c r="I5" i="11"/>
  <c r="H4" i="11"/>
  <c r="E15" i="11" l="1"/>
  <c r="G15" i="11" s="1"/>
  <c r="D17" i="11"/>
  <c r="J5" i="11"/>
  <c r="I6" i="11"/>
  <c r="G30" i="11"/>
  <c r="G11" i="11"/>
  <c r="G14" i="11"/>
  <c r="D18" i="11" l="1"/>
  <c r="E17" i="11"/>
  <c r="G17" i="11" s="1"/>
  <c r="K5" i="11"/>
  <c r="J6" i="11"/>
  <c r="E18" i="11" l="1"/>
  <c r="D19" i="11" s="1"/>
  <c r="G18" i="11"/>
  <c r="L5" i="11"/>
  <c r="K6" i="11"/>
  <c r="E19" i="11" l="1"/>
  <c r="D20" i="11"/>
  <c r="E20" i="11" s="1"/>
  <c r="G19" i="11"/>
  <c r="M5" i="11"/>
  <c r="L6" i="11"/>
  <c r="G20" i="11" l="1"/>
  <c r="D21" i="11"/>
  <c r="E21" i="11" s="1"/>
  <c r="D22" i="11" s="1"/>
  <c r="E22" i="11" s="1"/>
  <c r="N5" i="11"/>
  <c r="M6" i="11"/>
  <c r="D24" i="11" l="1"/>
  <c r="E24" i="11" s="1"/>
  <c r="D23" i="11"/>
  <c r="E23" i="11" s="1"/>
  <c r="D25" i="11" s="1"/>
  <c r="G25" i="11" s="1"/>
  <c r="O5" i="11"/>
  <c r="N6" i="11"/>
  <c r="O6" i="11" l="1"/>
  <c r="O4" i="11"/>
  <c r="P5" i="11"/>
  <c r="Q5" i="11" l="1"/>
  <c r="P6" i="11"/>
  <c r="R5" i="11" l="1"/>
  <c r="Q6" i="11"/>
  <c r="S5" i="11" l="1"/>
  <c r="R6" i="11"/>
  <c r="T5" i="11" l="1"/>
  <c r="S6" i="11"/>
  <c r="U5" i="11" l="1"/>
  <c r="T6" i="11"/>
  <c r="V5" i="11" l="1"/>
  <c r="U6" i="11"/>
  <c r="V6" i="11" l="1"/>
  <c r="V4" i="11"/>
  <c r="W5" i="11"/>
  <c r="X5" i="11" l="1"/>
  <c r="W6" i="11"/>
  <c r="Y5" i="11" l="1"/>
  <c r="X6" i="11"/>
  <c r="Z5" i="11" l="1"/>
  <c r="Y6" i="11"/>
  <c r="AA5" i="11" l="1"/>
  <c r="Z6" i="11"/>
  <c r="AB5" i="11" l="1"/>
  <c r="AA6" i="11"/>
  <c r="AC5" i="11" l="1"/>
  <c r="AB6" i="11"/>
  <c r="AC6" i="11" l="1"/>
  <c r="AD5" i="11"/>
  <c r="AC4" i="11"/>
  <c r="AE5" i="11" l="1"/>
  <c r="AD6" i="11"/>
  <c r="AF5" i="11" l="1"/>
  <c r="AE6" i="11"/>
  <c r="AG5" i="11" l="1"/>
  <c r="AF6" i="11"/>
  <c r="AH5" i="11" l="1"/>
  <c r="AG6" i="11"/>
  <c r="AI5" i="11" l="1"/>
  <c r="AH6" i="11"/>
  <c r="AI6" i="11" l="1"/>
  <c r="AJ5" i="11"/>
  <c r="AK5" i="11" l="1"/>
  <c r="AJ6" i="11"/>
  <c r="AJ4" i="11"/>
  <c r="AL5" i="11" l="1"/>
  <c r="AK6" i="11"/>
  <c r="AM5" i="11" l="1"/>
  <c r="AL6" i="11"/>
  <c r="AN5" i="11" l="1"/>
  <c r="AM6" i="11"/>
  <c r="AO5" i="11" l="1"/>
  <c r="AN6" i="11"/>
  <c r="AP5" i="11" l="1"/>
  <c r="AO6" i="11"/>
  <c r="AP6" i="11" l="1"/>
  <c r="AQ5" i="11"/>
  <c r="AR5" i="11" l="1"/>
  <c r="AQ6" i="11"/>
  <c r="AQ4" i="11"/>
  <c r="AR6" i="11" l="1"/>
  <c r="AS5" i="11"/>
  <c r="AS6" i="11" l="1"/>
  <c r="AT5" i="11"/>
  <c r="AT6" i="11" l="1"/>
  <c r="AU5" i="11"/>
  <c r="AU6" i="11" l="1"/>
  <c r="AV5" i="11"/>
  <c r="AV6" i="11" l="1"/>
  <c r="AW5" i="11"/>
  <c r="AX5" i="11" l="1"/>
  <c r="AW6" i="11"/>
  <c r="AX6" i="11" l="1"/>
  <c r="AY5" i="11"/>
  <c r="AX4" i="11"/>
  <c r="AY6" i="11" l="1"/>
  <c r="AZ5" i="11"/>
  <c r="AZ6" i="11" l="1"/>
  <c r="BA5" i="11"/>
  <c r="BA6" i="11" l="1"/>
  <c r="BB5" i="11"/>
  <c r="BB6" i="11" l="1"/>
  <c r="BC5" i="11"/>
  <c r="BC6" i="11" l="1"/>
  <c r="BD5" i="11"/>
  <c r="BD6" i="11" l="1"/>
  <c r="BE5" i="11"/>
  <c r="BE6" i="11" l="1"/>
  <c r="BF5" i="11"/>
  <c r="BE4" i="11"/>
  <c r="BF6" i="11" l="1"/>
  <c r="BG5" i="11"/>
  <c r="BG6" i="11" l="1"/>
  <c r="BH5" i="11"/>
  <c r="BH6" i="11" l="1"/>
  <c r="BI5" i="11"/>
  <c r="BI6" i="11" l="1"/>
  <c r="BJ5" i="11"/>
  <c r="BJ6" i="11" l="1"/>
  <c r="BK5" i="11"/>
  <c r="BK6" i="11" s="1"/>
</calcChain>
</file>

<file path=xl/sharedStrings.xml><?xml version="1.0" encoding="utf-8"?>
<sst xmlns="http://schemas.openxmlformats.org/spreadsheetml/2006/main" count="71" uniqueCount="68">
  <si>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</si>
  <si>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Geben Sie den Firmennamen in Zelle B2 ein.</t>
  </si>
  <si>
    <t>Geben Sie den Namen des Projektleiters in Zelle B3 ein. Geben Sie das Startdatum für das Projekt in Zelle E3 ein. Start des Projekts: Die Bezeichnung steht in Zelle C3.</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</si>
  <si>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</si>
  <si>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</si>
  <si>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</si>
  <si>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</si>
  <si>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</si>
  <si>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</si>
  <si>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</si>
  <si>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</si>
  <si>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Titelblock für Beispielphase</t>
  </si>
  <si>
    <t>Dies ist eine leere Zeile.</t>
  </si>
  <si>
    <t>Diese Zeile kennzeichnet das Ende des Projektplans. Geben Sie in dieser Zeile NICHTS EIN. 
Fügen Sie ÜBER dieser Zeile neue Zeilen ein, um mit der Erstellung Ihres Projektplans fortzufahren.</t>
  </si>
  <si>
    <t>AUFGABE</t>
  </si>
  <si>
    <t>Neue Zeilen ÜBER dieser einfügen</t>
  </si>
  <si>
    <t>FORTSCHRITT</t>
  </si>
  <si>
    <t>START</t>
  </si>
  <si>
    <t>ENDE</t>
  </si>
  <si>
    <t>TAGE</t>
  </si>
  <si>
    <t>EINFACHES GANTT-DIAGRAMM von Vertex42.com</t>
  </si>
  <si>
    <t>https://www.vertex42.com/ExcelTemplates/simple-gantt-chart.html</t>
  </si>
  <si>
    <t>Über diese Vorlage</t>
  </si>
  <si>
    <t>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</si>
  <si>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Leitfaden für die Sprachausgabe</t>
  </si>
  <si>
    <t>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</si>
  <si>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Weitere Hilfe</t>
  </si>
  <si>
    <t>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</si>
  <si>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Verwenden des einfachen Gantt-Diagramms</t>
  </si>
  <si>
    <t>Weitere Projektmanagementvorlagen</t>
  </si>
  <si>
    <t>Rufen Sie Vertex42.com auf, um weitere Projektmanagementvorlagen herunterzuladen, einschließlich unterschiedlicher Typen von Projektplänen, Gantt-Diagramme, Aufgabenlisten usw.</t>
  </si>
  <si>
    <t>Projektmanagementvorlagen</t>
  </si>
  <si>
    <t>Informationen zu Vertex42</t>
  </si>
  <si>
    <t>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</si>
  <si>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</si>
  <si>
    <t>Master Thesis Writing</t>
  </si>
  <si>
    <t>University of Cologne</t>
  </si>
  <si>
    <t>Jan Linzner</t>
  </si>
  <si>
    <t>Methodology</t>
  </si>
  <si>
    <t>Sample Data Collection</t>
  </si>
  <si>
    <t>Independent Variables</t>
  </si>
  <si>
    <t>Dependent Variables</t>
  </si>
  <si>
    <t>Moderators</t>
  </si>
  <si>
    <t>Mediators</t>
  </si>
  <si>
    <t>Controls</t>
  </si>
  <si>
    <t>Theoretical Background</t>
  </si>
  <si>
    <t>Venture Capital: Concept of Venture Capital</t>
  </si>
  <si>
    <t>Venture Capital: Importance of Venture Capital</t>
  </si>
  <si>
    <t>Theories: Role of Proximity in Venture Capital Financing</t>
  </si>
  <si>
    <t>Theories: Information Asymmetries</t>
  </si>
  <si>
    <t>Theories: Relational and Resource-based View</t>
  </si>
  <si>
    <t>Theories: Syndication in Venture Capital Transactions</t>
  </si>
  <si>
    <t>Theories: Knowledge Spillover in Startup Ecosystems</t>
  </si>
  <si>
    <t>Hypothesis Development</t>
  </si>
  <si>
    <t>Left Overs</t>
  </si>
  <si>
    <t>Results</t>
  </si>
  <si>
    <t>Descriptive Statistics</t>
  </si>
  <si>
    <t>Analysis Results</t>
  </si>
  <si>
    <t>Robustness Checks</t>
  </si>
  <si>
    <t>Discussion</t>
  </si>
  <si>
    <t>Main Findings</t>
  </si>
  <si>
    <t>Theoretical Contribution</t>
  </si>
  <si>
    <t>Introduction</t>
  </si>
  <si>
    <t>Overview and Relevance of Research Topics</t>
  </si>
  <si>
    <t>Research Gap and Related Work</t>
  </si>
  <si>
    <t>Research Question</t>
  </si>
  <si>
    <t>Practical Contribution</t>
  </si>
  <si>
    <t>Limitations and Future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</si>
</sst>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1" formatCode="_(* #,##0_);_(* \(#,##0\);_(* &quot;-&quot;_);_(@_)"/>
    <numFmt numFmtId="43" formatCode="_(* #,##0.00_);_(* \(#,##0.00\);_(* &quot;-&quot;??_);_(@_)"/>
    <numFmt numFmtId="164" formatCode="_-* #,##0\ &quot;€&quot;_-;\-* #,##0\ &quot;€&quot;_-;_-* &quot;-&quot;\ &quot;€&quot;_-;_-@_-"/>
    <numFmt numFmtId="165" formatCode="_-* #,##0.00\ &quot;€&quot;_-;\-* #,##0.00\ &quot;€&quot;_-;_-* &quot;-&quot;??\ &quot;€&quot;_-;_-@_-"/>
    <numFmt numFmtId="166" formatCode="d/m/yy;@"/>
    <numFmt numFmtId="167" formatCode="ddd\,\ d/m/yyyy"/>
    <numFmt numFmtId="168" formatCode="d/\ mmm\ yyyy"/>
    <numFmt numFmtId="169" formatCode="d"/>
    <numFmt numFmtId="170" formatCode="dd/mm/yy;@"/>
    <numFmt numFmtId="171" formatCode="dd/mm/yyyy;@"/>
  </numFmts>
  <fonts count="34" x14ac:knownFonts="1">
    <font>
      <sz val="11"/>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2" tint="-9.9978637043366805E-2"/>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2" fillId="0" borderId="0" applyNumberFormat="0" applyFill="0" applyBorder="0" applyAlignment="0" applyProtection="0">
      <alignment vertical="top"/>
      <protection locked="0"/>
    </xf>
    <xf numFmtId="9" fontId="8" fillId="0" borderId="0" applyFont="0" applyFill="0" applyBorder="0" applyAlignment="0" applyProtection="0"/>
    <xf numFmtId="0" fontId="19" fillId="0" borderId="0"/>
    <xf numFmtId="43" fontId="8" fillId="0" borderId="3" applyFont="0" applyFill="0" applyAlignment="0" applyProtection="0"/>
    <xf numFmtId="0" fontId="12"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7" fontId="8" fillId="0" borderId="3">
      <alignment horizontal="center" vertical="center"/>
    </xf>
    <xf numFmtId="166"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22" fillId="0" borderId="0" applyNumberFormat="0" applyFill="0" applyBorder="0" applyAlignment="0" applyProtection="0"/>
    <xf numFmtId="41" fontId="8" fillId="0" borderId="0" applyFont="0" applyFill="0" applyBorder="0" applyAlignment="0" applyProtection="0"/>
    <xf numFmtId="165" fontId="8" fillId="0" borderId="0" applyFont="0" applyFill="0" applyBorder="0" applyAlignment="0" applyProtection="0"/>
    <xf numFmtId="164" fontId="8" fillId="0" borderId="0" applyFont="0" applyFill="0" applyBorder="0" applyAlignment="0" applyProtection="0"/>
    <xf numFmtId="0" fontId="23" fillId="0" borderId="0" applyNumberFormat="0" applyFill="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6" fillId="16" borderId="0" applyNumberFormat="0" applyBorder="0" applyAlignment="0" applyProtection="0"/>
    <xf numFmtId="0" fontId="27" fillId="17" borderId="11" applyNumberFormat="0" applyAlignment="0" applyProtection="0"/>
    <xf numFmtId="0" fontId="28" fillId="18" borderId="12" applyNumberFormat="0" applyAlignment="0" applyProtection="0"/>
    <xf numFmtId="0" fontId="29" fillId="18" borderId="11" applyNumberFormat="0" applyAlignment="0" applyProtection="0"/>
    <xf numFmtId="0" fontId="30" fillId="0" borderId="13" applyNumberFormat="0" applyFill="0" applyAlignment="0" applyProtection="0"/>
    <xf numFmtId="0" fontId="31" fillId="19" borderId="14" applyNumberFormat="0" applyAlignment="0" applyProtection="0"/>
    <xf numFmtId="0" fontId="32" fillId="0" borderId="0" applyNumberFormat="0" applyFill="0" applyBorder="0" applyAlignment="0" applyProtection="0"/>
    <xf numFmtId="0" fontId="8" fillId="20" borderId="15" applyNumberFormat="0" applyFont="0" applyAlignment="0" applyProtection="0"/>
    <xf numFmtId="0" fontId="33" fillId="0" borderId="0" applyNumberFormat="0" applyFill="0" applyBorder="0" applyAlignment="0" applyProtection="0"/>
    <xf numFmtId="0" fontId="5" fillId="0" borderId="16" applyNumberFormat="0" applyFill="0" applyAlignment="0" applyProtection="0"/>
    <xf numFmtId="0" fontId="19"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19"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19"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19"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19"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xf numFmtId="0" fontId="19" fillId="41" borderId="0" applyNumberFormat="0" applyBorder="0" applyAlignment="0" applyProtection="0"/>
    <xf numFmtId="0" fontId="8" fillId="42"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cellStyleXfs>
  <cellXfs count="86">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0" fontId="11" fillId="12" borderId="8" xfId="0" applyFont="1" applyFill="1" applyBorder="1" applyAlignment="1">
      <alignment horizontal="center" vertical="center" shrinkToFit="1"/>
    </xf>
    <xf numFmtId="9" fontId="4" fillId="0" borderId="2" xfId="2" applyFont="1" applyBorder="1" applyAlignment="1">
      <alignment horizontal="center" vertical="center"/>
    </xf>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9" borderId="2" xfId="0" applyFont="1" applyFill="1" applyBorder="1" applyAlignment="1">
      <alignment horizontal="left" vertical="center" indent="1"/>
    </xf>
    <xf numFmtId="9" fontId="4" fillId="9" borderId="2" xfId="2" applyFont="1" applyFill="1" applyBorder="1" applyAlignment="1">
      <alignment horizontal="center" vertical="center"/>
    </xf>
    <xf numFmtId="9" fontId="4" fillId="4" borderId="2" xfId="2" applyFont="1" applyFill="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11"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7" fillId="2" borderId="2" xfId="0" applyFont="1" applyFill="1" applyBorder="1" applyAlignment="1">
      <alignment horizontal="left" vertical="center" indent="1"/>
    </xf>
    <xf numFmtId="9" fontId="4" fillId="2"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1" fillId="0" borderId="0" xfId="0" applyFont="1" applyAlignment="1">
      <alignment horizontal="center" vertical="center"/>
    </xf>
    <xf numFmtId="0" fontId="1" fillId="0" borderId="0" xfId="0" applyFont="1" applyAlignment="1">
      <alignment vertical="top"/>
    </xf>
    <xf numFmtId="0" fontId="13" fillId="0" borderId="0" xfId="0" applyFont="1" applyAlignment="1">
      <alignment horizontal="left" vertical="center"/>
    </xf>
    <xf numFmtId="0" fontId="14" fillId="0" borderId="0" xfId="0" applyFont="1" applyAlignment="1">
      <alignment horizontal="left" vertical="center"/>
    </xf>
    <xf numFmtId="0" fontId="16" fillId="0" borderId="0" xfId="0" applyFont="1"/>
    <xf numFmtId="0" fontId="18" fillId="0" borderId="0" xfId="0" applyFont="1" applyAlignment="1">
      <alignment vertical="center"/>
    </xf>
    <xf numFmtId="0" fontId="17" fillId="0" borderId="0" xfId="0" applyFont="1" applyAlignment="1">
      <alignment horizontal="left" vertical="top" wrapText="1" indent="1"/>
    </xf>
    <xf numFmtId="0" fontId="1" fillId="0" borderId="0" xfId="0" applyFont="1" applyAlignment="1">
      <alignment horizontal="left" vertical="top"/>
    </xf>
    <xf numFmtId="0" fontId="15"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19" fillId="0" borderId="0" xfId="3"/>
    <xf numFmtId="0" fontId="19" fillId="0" borderId="0" xfId="3" applyAlignment="1">
      <alignment wrapText="1"/>
    </xf>
    <xf numFmtId="0" fontId="19" fillId="0" borderId="0" xfId="0" applyFont="1" applyAlignment="1">
      <alignment horizontal="center"/>
    </xf>
    <xf numFmtId="0" fontId="12" fillId="0" borderId="0" xfId="5" applyAlignment="1">
      <alignment horizontal="left"/>
    </xf>
    <xf numFmtId="0" fontId="9" fillId="0" borderId="0" xfId="6"/>
    <xf numFmtId="0" fontId="9" fillId="0" borderId="0" xfId="7">
      <alignment vertical="top"/>
    </xf>
    <xf numFmtId="0" fontId="8" fillId="3" borderId="2" xfId="12" applyFill="1">
      <alignment horizontal="left" vertical="center" indent="2"/>
    </xf>
    <xf numFmtId="0" fontId="8" fillId="4" borderId="2" xfId="12" applyFill="1">
      <alignment horizontal="left" vertical="center" indent="2"/>
    </xf>
    <xf numFmtId="0" fontId="8" fillId="11" borderId="2" xfId="12" applyFill="1">
      <alignment horizontal="left" vertical="center" indent="2"/>
    </xf>
    <xf numFmtId="0" fontId="8" fillId="10" borderId="2" xfId="12" applyFill="1">
      <alignment horizontal="left" vertical="center" indent="2"/>
    </xf>
    <xf numFmtId="0" fontId="8" fillId="0" borderId="2" xfId="12">
      <alignment horizontal="left" vertical="center" indent="2"/>
    </xf>
    <xf numFmtId="0" fontId="0" fillId="0" borderId="10" xfId="0" applyBorder="1"/>
    <xf numFmtId="0" fontId="20" fillId="0" borderId="0" xfId="0" applyFont="1"/>
    <xf numFmtId="0" fontId="21" fillId="0" borderId="0" xfId="1" applyFont="1" applyProtection="1">
      <alignment vertical="top"/>
    </xf>
    <xf numFmtId="0" fontId="4" fillId="0" borderId="0" xfId="0" applyFont="1" applyAlignment="1">
      <alignment vertical="top"/>
    </xf>
    <xf numFmtId="0" fontId="8" fillId="0" borderId="7" xfId="8" applyBorder="1">
      <alignment horizontal="right" indent="1"/>
    </xf>
    <xf numFmtId="166" fontId="0" fillId="8" borderId="2" xfId="0" applyNumberFormat="1" applyFill="1" applyBorder="1" applyAlignment="1">
      <alignment horizontal="center" vertical="center"/>
    </xf>
    <xf numFmtId="166" fontId="4" fillId="8" borderId="2" xfId="0" applyNumberFormat="1" applyFont="1" applyFill="1" applyBorder="1" applyAlignment="1">
      <alignment horizontal="center" vertical="center"/>
    </xf>
    <xf numFmtId="166" fontId="8" fillId="0" borderId="2" xfId="10">
      <alignment horizontal="center" vertical="center"/>
    </xf>
    <xf numFmtId="166" fontId="3" fillId="2" borderId="2" xfId="0" applyNumberFormat="1" applyFont="1" applyFill="1" applyBorder="1" applyAlignment="1">
      <alignment horizontal="left" vertical="center"/>
    </xf>
    <xf numFmtId="166" fontId="4" fillId="2" borderId="2" xfId="0" applyNumberFormat="1" applyFont="1" applyFill="1" applyBorder="1" applyAlignment="1">
      <alignment horizontal="center" vertical="center"/>
    </xf>
    <xf numFmtId="169" fontId="10" fillId="7" borderId="6" xfId="0" applyNumberFormat="1" applyFont="1" applyFill="1" applyBorder="1" applyAlignment="1">
      <alignment horizontal="center" vertical="center"/>
    </xf>
    <xf numFmtId="169" fontId="10" fillId="7" borderId="0" xfId="0" applyNumberFormat="1" applyFont="1" applyFill="1" applyAlignment="1">
      <alignment horizontal="center" vertical="center"/>
    </xf>
    <xf numFmtId="169" fontId="10" fillId="7" borderId="7" xfId="0" applyNumberFormat="1" applyFont="1" applyFill="1" applyBorder="1" applyAlignment="1">
      <alignment horizontal="center" vertical="center"/>
    </xf>
    <xf numFmtId="0" fontId="5" fillId="45" borderId="2" xfId="0" applyFont="1" applyFill="1" applyBorder="1" applyAlignment="1">
      <alignment horizontal="left" vertical="center" indent="1"/>
    </xf>
    <xf numFmtId="9" fontId="4" fillId="45" borderId="2" xfId="2" applyFont="1" applyFill="1" applyBorder="1" applyAlignment="1">
      <alignment horizontal="center" vertical="center"/>
    </xf>
    <xf numFmtId="0" fontId="8" fillId="46" borderId="2" xfId="12" applyFill="1">
      <alignment horizontal="left" vertical="center" indent="2"/>
    </xf>
    <xf numFmtId="9" fontId="4" fillId="46" borderId="2" xfId="2" applyFont="1" applyFill="1" applyBorder="1" applyAlignment="1">
      <alignment horizontal="center" vertical="center"/>
    </xf>
    <xf numFmtId="170" fontId="8" fillId="3" borderId="2" xfId="10" applyNumberFormat="1" applyFill="1">
      <alignment horizontal="center" vertical="center"/>
    </xf>
    <xf numFmtId="170" fontId="0" fillId="9" borderId="2" xfId="0" applyNumberFormat="1" applyFill="1" applyBorder="1" applyAlignment="1">
      <alignment horizontal="center" vertical="center"/>
    </xf>
    <xf numFmtId="170" fontId="4" fillId="9" borderId="2" xfId="0" applyNumberFormat="1" applyFont="1" applyFill="1" applyBorder="1" applyAlignment="1">
      <alignment horizontal="center" vertical="center"/>
    </xf>
    <xf numFmtId="170" fontId="8" fillId="4" borderId="2" xfId="10" applyNumberFormat="1" applyFill="1">
      <alignment horizontal="center" vertical="center"/>
    </xf>
    <xf numFmtId="170" fontId="0" fillId="6" borderId="2" xfId="0" applyNumberFormat="1" applyFill="1" applyBorder="1" applyAlignment="1">
      <alignment horizontal="center" vertical="center"/>
    </xf>
    <xf numFmtId="170" fontId="4" fillId="6" borderId="2" xfId="0" applyNumberFormat="1" applyFont="1" applyFill="1" applyBorder="1" applyAlignment="1">
      <alignment horizontal="center" vertical="center"/>
    </xf>
    <xf numFmtId="170" fontId="8" fillId="11" borderId="2" xfId="10" applyNumberFormat="1" applyFill="1">
      <alignment horizontal="center" vertical="center"/>
    </xf>
    <xf numFmtId="170" fontId="0" fillId="5" borderId="2" xfId="0" applyNumberFormat="1" applyFill="1" applyBorder="1" applyAlignment="1">
      <alignment horizontal="center" vertical="center"/>
    </xf>
    <xf numFmtId="170" fontId="4" fillId="5" borderId="2" xfId="0" applyNumberFormat="1" applyFont="1" applyFill="1" applyBorder="1" applyAlignment="1">
      <alignment horizontal="center" vertical="center"/>
    </xf>
    <xf numFmtId="170" fontId="8" fillId="10" borderId="2" xfId="10" applyNumberFormat="1" applyFill="1">
      <alignment horizontal="center" vertical="center"/>
    </xf>
    <xf numFmtId="170" fontId="0" fillId="45" borderId="2" xfId="0" applyNumberFormat="1" applyFill="1" applyBorder="1" applyAlignment="1">
      <alignment horizontal="center" vertical="center"/>
    </xf>
    <xf numFmtId="170" fontId="4" fillId="45" borderId="2" xfId="0" applyNumberFormat="1" applyFont="1" applyFill="1" applyBorder="1" applyAlignment="1">
      <alignment horizontal="center" vertical="center"/>
    </xf>
    <xf numFmtId="170" fontId="8" fillId="46" borderId="2" xfId="10" applyNumberFormat="1" applyFill="1">
      <alignment horizontal="center" vertical="center"/>
    </xf>
    <xf numFmtId="168" fontId="0" fillId="7" borderId="4" xfId="0" applyNumberFormat="1" applyFill="1" applyBorder="1" applyAlignment="1">
      <alignment horizontal="left" vertical="center" wrapText="1" indent="1"/>
    </xf>
    <xf numFmtId="168" fontId="0" fillId="7" borderId="1" xfId="0" applyNumberFormat="1" applyFill="1" applyBorder="1" applyAlignment="1">
      <alignment horizontal="left" vertical="center" wrapText="1" indent="1"/>
    </xf>
    <xf numFmtId="168" fontId="0" fillId="7" borderId="5" xfId="0" applyNumberFormat="1" applyFill="1" applyBorder="1" applyAlignment="1">
      <alignment horizontal="left" vertical="center" wrapText="1" indent="1"/>
    </xf>
    <xf numFmtId="171" fontId="8" fillId="0" borderId="3" xfId="9" applyNumberFormat="1">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ufgabe" xfId="12" xr:uid="{6391D789-272B-4DD2-9BF3-2CDCF610FA4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um"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ktanfang" xfId="9" xr:uid="{8EB8A09A-C31C-40A3-B2C1-9449520178B8}"/>
    <cellStyle name="Title" xfId="5" builtinId="15" customBuiltin="1"/>
    <cellStyle name="Total" xfId="29" builtinId="25" customBuiltin="1"/>
    <cellStyle name="Warning Text" xfId="26" builtinId="11" customBuiltin="1"/>
    <cellStyle name="zAusgebl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AD680"/>
      <color rgb="FFCFD55D"/>
      <color rgb="FFCDD6AE"/>
      <color rgb="FFD3D592"/>
      <color rgb="FFD0D554"/>
      <color rgb="FF215881"/>
      <color rgb="FF42648A"/>
      <color rgb="FF969696"/>
      <color rgb="FFC0C0C0"/>
      <color rgb="FF427F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Bild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43"/>
  <sheetViews>
    <sheetView showGridLines="0" tabSelected="1" showRuler="0" zoomScaleNormal="100" zoomScalePageLayoutView="70" workbookViewId="0">
      <pane ySplit="6" topLeftCell="A15" activePane="bottomLeft" state="frozen"/>
      <selection pane="bottomLeft" activeCell="E26" sqref="E26"/>
    </sheetView>
  </sheetViews>
  <sheetFormatPr baseColWidth="10" defaultColWidth="9.1640625" defaultRowHeight="30" customHeight="1" x14ac:dyDescent="0.2"/>
  <cols>
    <col min="1" max="1" width="2.6640625" style="41" customWidth="1"/>
    <col min="2" max="2" width="55.6640625" customWidth="1"/>
    <col min="3" max="3" width="10.6640625" customWidth="1"/>
    <col min="4" max="4" width="10.5" style="4" customWidth="1"/>
    <col min="5" max="5" width="10.5" customWidth="1"/>
    <col min="6" max="6" width="2.6640625" customWidth="1"/>
    <col min="7" max="7" width="6.1640625" hidden="1" customWidth="1"/>
    <col min="8" max="63" width="2.5" customWidth="1"/>
    <col min="68" max="69" width="10.33203125"/>
  </cols>
  <sheetData>
    <row r="1" spans="1:63" ht="30" customHeight="1" x14ac:dyDescent="0.35">
      <c r="A1" s="42" t="s">
        <v>0</v>
      </c>
      <c r="B1" s="44" t="s">
        <v>35</v>
      </c>
      <c r="C1" s="1"/>
      <c r="D1" s="3"/>
      <c r="E1" s="30"/>
      <c r="G1" s="1"/>
      <c r="H1" s="53"/>
    </row>
    <row r="2" spans="1:63" ht="30" customHeight="1" x14ac:dyDescent="0.25">
      <c r="A2" s="41" t="s">
        <v>1</v>
      </c>
      <c r="B2" s="45" t="s">
        <v>36</v>
      </c>
      <c r="H2" s="54"/>
    </row>
    <row r="3" spans="1:63" ht="30" customHeight="1" x14ac:dyDescent="0.2">
      <c r="A3" s="41" t="s">
        <v>2</v>
      </c>
      <c r="B3" s="46" t="s">
        <v>37</v>
      </c>
      <c r="C3" s="56"/>
      <c r="D3" s="85">
        <v>45855</v>
      </c>
      <c r="E3" s="85"/>
    </row>
    <row r="4" spans="1:63" ht="30" customHeight="1" x14ac:dyDescent="0.2">
      <c r="A4" s="42" t="s">
        <v>3</v>
      </c>
      <c r="C4" s="56"/>
      <c r="D4" s="6">
        <v>1</v>
      </c>
      <c r="H4" s="82">
        <f>H5</f>
        <v>45852</v>
      </c>
      <c r="I4" s="83"/>
      <c r="J4" s="83"/>
      <c r="K4" s="83"/>
      <c r="L4" s="83"/>
      <c r="M4" s="83"/>
      <c r="N4" s="84"/>
      <c r="O4" s="82">
        <f>O5</f>
        <v>45859</v>
      </c>
      <c r="P4" s="83"/>
      <c r="Q4" s="83"/>
      <c r="R4" s="83"/>
      <c r="S4" s="83"/>
      <c r="T4" s="83"/>
      <c r="U4" s="84"/>
      <c r="V4" s="82">
        <f>V5</f>
        <v>45866</v>
      </c>
      <c r="W4" s="83"/>
      <c r="X4" s="83"/>
      <c r="Y4" s="83"/>
      <c r="Z4" s="83"/>
      <c r="AA4" s="83"/>
      <c r="AB4" s="84"/>
      <c r="AC4" s="82">
        <f>AC5</f>
        <v>45873</v>
      </c>
      <c r="AD4" s="83"/>
      <c r="AE4" s="83"/>
      <c r="AF4" s="83"/>
      <c r="AG4" s="83"/>
      <c r="AH4" s="83"/>
      <c r="AI4" s="84"/>
      <c r="AJ4" s="82">
        <f>AJ5</f>
        <v>45880</v>
      </c>
      <c r="AK4" s="83"/>
      <c r="AL4" s="83"/>
      <c r="AM4" s="83"/>
      <c r="AN4" s="83"/>
      <c r="AO4" s="83"/>
      <c r="AP4" s="84"/>
      <c r="AQ4" s="82">
        <f>AQ5</f>
        <v>45887</v>
      </c>
      <c r="AR4" s="83"/>
      <c r="AS4" s="83"/>
      <c r="AT4" s="83"/>
      <c r="AU4" s="83"/>
      <c r="AV4" s="83"/>
      <c r="AW4" s="84"/>
      <c r="AX4" s="82">
        <f>AX5</f>
        <v>45894</v>
      </c>
      <c r="AY4" s="83"/>
      <c r="AZ4" s="83"/>
      <c r="BA4" s="83"/>
      <c r="BB4" s="83"/>
      <c r="BC4" s="83"/>
      <c r="BD4" s="84"/>
      <c r="BE4" s="82">
        <f>BE5</f>
        <v>45901</v>
      </c>
      <c r="BF4" s="83"/>
      <c r="BG4" s="83"/>
      <c r="BH4" s="83"/>
      <c r="BI4" s="83"/>
      <c r="BJ4" s="83"/>
      <c r="BK4" s="84"/>
    </row>
    <row r="5" spans="1:63" ht="15" customHeight="1" x14ac:dyDescent="0.2">
      <c r="A5" s="42" t="s">
        <v>4</v>
      </c>
      <c r="B5" s="52"/>
      <c r="C5" s="52"/>
      <c r="D5" s="52"/>
      <c r="E5" s="52"/>
      <c r="F5" s="52"/>
      <c r="H5" s="62">
        <f>Projektanfang-WEEKDAY(Projektanfang,1)+2+7*(Anzeigewoche-1)</f>
        <v>45852</v>
      </c>
      <c r="I5" s="63">
        <f>H5+1</f>
        <v>45853</v>
      </c>
      <c r="J5" s="63">
        <f t="shared" ref="J5:AW5" si="0">I5+1</f>
        <v>45854</v>
      </c>
      <c r="K5" s="63">
        <f t="shared" si="0"/>
        <v>45855</v>
      </c>
      <c r="L5" s="63">
        <f t="shared" si="0"/>
        <v>45856</v>
      </c>
      <c r="M5" s="63">
        <f t="shared" si="0"/>
        <v>45857</v>
      </c>
      <c r="N5" s="64">
        <f t="shared" si="0"/>
        <v>45858</v>
      </c>
      <c r="O5" s="62">
        <f>N5+1</f>
        <v>45859</v>
      </c>
      <c r="P5" s="63">
        <f>O5+1</f>
        <v>45860</v>
      </c>
      <c r="Q5" s="63">
        <f t="shared" si="0"/>
        <v>45861</v>
      </c>
      <c r="R5" s="63">
        <f t="shared" si="0"/>
        <v>45862</v>
      </c>
      <c r="S5" s="63">
        <f t="shared" si="0"/>
        <v>45863</v>
      </c>
      <c r="T5" s="63">
        <f t="shared" si="0"/>
        <v>45864</v>
      </c>
      <c r="U5" s="64">
        <f t="shared" si="0"/>
        <v>45865</v>
      </c>
      <c r="V5" s="62">
        <f>U5+1</f>
        <v>45866</v>
      </c>
      <c r="W5" s="63">
        <f>V5+1</f>
        <v>45867</v>
      </c>
      <c r="X5" s="63">
        <f t="shared" si="0"/>
        <v>45868</v>
      </c>
      <c r="Y5" s="63">
        <f t="shared" si="0"/>
        <v>45869</v>
      </c>
      <c r="Z5" s="63">
        <f t="shared" si="0"/>
        <v>45870</v>
      </c>
      <c r="AA5" s="63">
        <f t="shared" si="0"/>
        <v>45871</v>
      </c>
      <c r="AB5" s="64">
        <f t="shared" si="0"/>
        <v>45872</v>
      </c>
      <c r="AC5" s="62">
        <f>AB5+1</f>
        <v>45873</v>
      </c>
      <c r="AD5" s="63">
        <f>AC5+1</f>
        <v>45874</v>
      </c>
      <c r="AE5" s="63">
        <f t="shared" si="0"/>
        <v>45875</v>
      </c>
      <c r="AF5" s="63">
        <f t="shared" si="0"/>
        <v>45876</v>
      </c>
      <c r="AG5" s="63">
        <f t="shared" si="0"/>
        <v>45877</v>
      </c>
      <c r="AH5" s="63">
        <f t="shared" si="0"/>
        <v>45878</v>
      </c>
      <c r="AI5" s="64">
        <f t="shared" si="0"/>
        <v>45879</v>
      </c>
      <c r="AJ5" s="62">
        <f>AI5+1</f>
        <v>45880</v>
      </c>
      <c r="AK5" s="63">
        <f>AJ5+1</f>
        <v>45881</v>
      </c>
      <c r="AL5" s="63">
        <f t="shared" si="0"/>
        <v>45882</v>
      </c>
      <c r="AM5" s="63">
        <f t="shared" si="0"/>
        <v>45883</v>
      </c>
      <c r="AN5" s="63">
        <f t="shared" si="0"/>
        <v>45884</v>
      </c>
      <c r="AO5" s="63">
        <f t="shared" si="0"/>
        <v>45885</v>
      </c>
      <c r="AP5" s="64">
        <f t="shared" si="0"/>
        <v>45886</v>
      </c>
      <c r="AQ5" s="62">
        <f>AP5+1</f>
        <v>45887</v>
      </c>
      <c r="AR5" s="63">
        <f>AQ5+1</f>
        <v>45888</v>
      </c>
      <c r="AS5" s="63">
        <f t="shared" si="0"/>
        <v>45889</v>
      </c>
      <c r="AT5" s="63">
        <f t="shared" si="0"/>
        <v>45890</v>
      </c>
      <c r="AU5" s="63">
        <f t="shared" si="0"/>
        <v>45891</v>
      </c>
      <c r="AV5" s="63">
        <f t="shared" si="0"/>
        <v>45892</v>
      </c>
      <c r="AW5" s="64">
        <f t="shared" si="0"/>
        <v>45893</v>
      </c>
      <c r="AX5" s="62">
        <f>AW5+1</f>
        <v>45894</v>
      </c>
      <c r="AY5" s="63">
        <f>AX5+1</f>
        <v>45895</v>
      </c>
      <c r="AZ5" s="63">
        <f t="shared" ref="AZ5:BD5" si="1">AY5+1</f>
        <v>45896</v>
      </c>
      <c r="BA5" s="63">
        <f t="shared" si="1"/>
        <v>45897</v>
      </c>
      <c r="BB5" s="63">
        <f t="shared" si="1"/>
        <v>45898</v>
      </c>
      <c r="BC5" s="63">
        <f t="shared" si="1"/>
        <v>45899</v>
      </c>
      <c r="BD5" s="64">
        <f t="shared" si="1"/>
        <v>45900</v>
      </c>
      <c r="BE5" s="62">
        <f>BD5+1</f>
        <v>45901</v>
      </c>
      <c r="BF5" s="63">
        <f>BE5+1</f>
        <v>45902</v>
      </c>
      <c r="BG5" s="63">
        <f t="shared" ref="BG5:BK5" si="2">BF5+1</f>
        <v>45903</v>
      </c>
      <c r="BH5" s="63">
        <f t="shared" si="2"/>
        <v>45904</v>
      </c>
      <c r="BI5" s="63">
        <f t="shared" si="2"/>
        <v>45905</v>
      </c>
      <c r="BJ5" s="63">
        <f t="shared" si="2"/>
        <v>45906</v>
      </c>
      <c r="BK5" s="64">
        <f t="shared" si="2"/>
        <v>45907</v>
      </c>
    </row>
    <row r="6" spans="1:63" ht="30" customHeight="1" thickBot="1" x14ac:dyDescent="0.25">
      <c r="A6" s="42" t="s">
        <v>5</v>
      </c>
      <c r="B6" s="7" t="s">
        <v>14</v>
      </c>
      <c r="C6" s="8" t="s">
        <v>16</v>
      </c>
      <c r="D6" s="8" t="s">
        <v>17</v>
      </c>
      <c r="E6" s="8" t="s">
        <v>18</v>
      </c>
      <c r="F6" s="8"/>
      <c r="G6" s="8" t="s">
        <v>19</v>
      </c>
      <c r="H6" s="9" t="str">
        <f t="shared" ref="H6:AM6" si="3">LEFT(TEXT(H5,"TTTT"),1)</f>
        <v>T</v>
      </c>
      <c r="I6" s="9" t="str">
        <f t="shared" si="3"/>
        <v>T</v>
      </c>
      <c r="J6" s="9" t="str">
        <f t="shared" si="3"/>
        <v>T</v>
      </c>
      <c r="K6" s="9" t="str">
        <f t="shared" si="3"/>
        <v>T</v>
      </c>
      <c r="L6" s="9" t="str">
        <f t="shared" si="3"/>
        <v>T</v>
      </c>
      <c r="M6" s="9" t="str">
        <f t="shared" si="3"/>
        <v>T</v>
      </c>
      <c r="N6" s="9" t="str">
        <f t="shared" si="3"/>
        <v>T</v>
      </c>
      <c r="O6" s="9" t="str">
        <f t="shared" si="3"/>
        <v>T</v>
      </c>
      <c r="P6" s="9" t="str">
        <f t="shared" si="3"/>
        <v>T</v>
      </c>
      <c r="Q6" s="9" t="str">
        <f t="shared" si="3"/>
        <v>T</v>
      </c>
      <c r="R6" s="9" t="str">
        <f t="shared" si="3"/>
        <v>T</v>
      </c>
      <c r="S6" s="9" t="str">
        <f t="shared" si="3"/>
        <v>T</v>
      </c>
      <c r="T6" s="9" t="str">
        <f t="shared" si="3"/>
        <v>T</v>
      </c>
      <c r="U6" s="9" t="str">
        <f t="shared" si="3"/>
        <v>T</v>
      </c>
      <c r="V6" s="9" t="str">
        <f t="shared" si="3"/>
        <v>T</v>
      </c>
      <c r="W6" s="9" t="str">
        <f t="shared" si="3"/>
        <v>T</v>
      </c>
      <c r="X6" s="9" t="str">
        <f t="shared" si="3"/>
        <v>T</v>
      </c>
      <c r="Y6" s="9" t="str">
        <f t="shared" si="3"/>
        <v>T</v>
      </c>
      <c r="Z6" s="9" t="str">
        <f t="shared" si="3"/>
        <v>T</v>
      </c>
      <c r="AA6" s="9" t="str">
        <f t="shared" si="3"/>
        <v>T</v>
      </c>
      <c r="AB6" s="9" t="str">
        <f t="shared" si="3"/>
        <v>T</v>
      </c>
      <c r="AC6" s="9" t="str">
        <f t="shared" si="3"/>
        <v>T</v>
      </c>
      <c r="AD6" s="9" t="str">
        <f t="shared" si="3"/>
        <v>T</v>
      </c>
      <c r="AE6" s="9" t="str">
        <f t="shared" si="3"/>
        <v>T</v>
      </c>
      <c r="AF6" s="9" t="str">
        <f t="shared" si="3"/>
        <v>T</v>
      </c>
      <c r="AG6" s="9" t="str">
        <f t="shared" si="3"/>
        <v>T</v>
      </c>
      <c r="AH6" s="9" t="str">
        <f t="shared" si="3"/>
        <v>T</v>
      </c>
      <c r="AI6" s="9" t="str">
        <f t="shared" si="3"/>
        <v>T</v>
      </c>
      <c r="AJ6" s="9" t="str">
        <f t="shared" si="3"/>
        <v>T</v>
      </c>
      <c r="AK6" s="9" t="str">
        <f t="shared" si="3"/>
        <v>T</v>
      </c>
      <c r="AL6" s="9" t="str">
        <f t="shared" si="3"/>
        <v>T</v>
      </c>
      <c r="AM6" s="9" t="str">
        <f t="shared" si="3"/>
        <v>T</v>
      </c>
      <c r="AN6" s="9" t="str">
        <f t="shared" ref="AN6:BK6" si="4">LEFT(TEXT(AN5,"TTTT"),1)</f>
        <v>T</v>
      </c>
      <c r="AO6" s="9" t="str">
        <f t="shared" si="4"/>
        <v>T</v>
      </c>
      <c r="AP6" s="9" t="str">
        <f t="shared" si="4"/>
        <v>T</v>
      </c>
      <c r="AQ6" s="9" t="str">
        <f t="shared" si="4"/>
        <v>T</v>
      </c>
      <c r="AR6" s="9" t="str">
        <f t="shared" si="4"/>
        <v>T</v>
      </c>
      <c r="AS6" s="9" t="str">
        <f t="shared" si="4"/>
        <v>T</v>
      </c>
      <c r="AT6" s="9" t="str">
        <f t="shared" si="4"/>
        <v>T</v>
      </c>
      <c r="AU6" s="9" t="str">
        <f t="shared" si="4"/>
        <v>T</v>
      </c>
      <c r="AV6" s="9" t="str">
        <f t="shared" si="4"/>
        <v>T</v>
      </c>
      <c r="AW6" s="9" t="str">
        <f t="shared" si="4"/>
        <v>T</v>
      </c>
      <c r="AX6" s="9" t="str">
        <f t="shared" si="4"/>
        <v>T</v>
      </c>
      <c r="AY6" s="9" t="str">
        <f t="shared" si="4"/>
        <v>T</v>
      </c>
      <c r="AZ6" s="9" t="str">
        <f t="shared" si="4"/>
        <v>T</v>
      </c>
      <c r="BA6" s="9" t="str">
        <f t="shared" si="4"/>
        <v>T</v>
      </c>
      <c r="BB6" s="9" t="str">
        <f t="shared" si="4"/>
        <v>T</v>
      </c>
      <c r="BC6" s="9" t="str">
        <f t="shared" si="4"/>
        <v>T</v>
      </c>
      <c r="BD6" s="9" t="str">
        <f t="shared" si="4"/>
        <v>T</v>
      </c>
      <c r="BE6" s="9" t="str">
        <f t="shared" si="4"/>
        <v>T</v>
      </c>
      <c r="BF6" s="9" t="str">
        <f t="shared" si="4"/>
        <v>T</v>
      </c>
      <c r="BG6" s="9" t="str">
        <f t="shared" si="4"/>
        <v>T</v>
      </c>
      <c r="BH6" s="9" t="str">
        <f t="shared" si="4"/>
        <v>T</v>
      </c>
      <c r="BI6" s="9" t="str">
        <f t="shared" si="4"/>
        <v>T</v>
      </c>
      <c r="BJ6" s="9" t="str">
        <f t="shared" si="4"/>
        <v>T</v>
      </c>
      <c r="BK6" s="9" t="str">
        <f t="shared" si="4"/>
        <v>T</v>
      </c>
    </row>
    <row r="7" spans="1:63" ht="30" hidden="1" customHeight="1" thickBot="1" x14ac:dyDescent="0.25">
      <c r="A7" s="41" t="s">
        <v>6</v>
      </c>
      <c r="D7"/>
      <c r="G7" t="str">
        <f>IF(OR(ISBLANK(task_start),ISBLANK(task_end)),"",task_end-task_start+1)</f>
        <v/>
      </c>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row>
    <row r="8" spans="1:63" s="2" customFormat="1" ht="30" customHeight="1" thickBot="1" x14ac:dyDescent="0.25">
      <c r="A8" s="42" t="s">
        <v>7</v>
      </c>
      <c r="B8" s="12" t="s">
        <v>38</v>
      </c>
      <c r="C8" s="13"/>
      <c r="D8" s="57"/>
      <c r="E8" s="58"/>
      <c r="F8" s="11"/>
      <c r="G8" s="11" t="str">
        <f t="shared" ref="G8:G41" si="5">IF(OR(ISBLANK(task_start),ISBLANK(task_end)),"",task_end-task_start+1)</f>
        <v/>
      </c>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row>
    <row r="9" spans="1:63" s="2" customFormat="1" ht="30" customHeight="1" thickBot="1" x14ac:dyDescent="0.25">
      <c r="A9" s="42" t="s">
        <v>8</v>
      </c>
      <c r="B9" s="47" t="s">
        <v>39</v>
      </c>
      <c r="C9" s="14">
        <v>1</v>
      </c>
      <c r="D9" s="69">
        <f>Projektanfang</f>
        <v>45855</v>
      </c>
      <c r="E9" s="69">
        <f t="shared" ref="E9:E14" si="6">D9+0</f>
        <v>45855</v>
      </c>
      <c r="F9" s="11"/>
      <c r="G9" s="11">
        <f t="shared" si="5"/>
        <v>1</v>
      </c>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row>
    <row r="10" spans="1:63" s="2" customFormat="1" ht="30" customHeight="1" thickBot="1" x14ac:dyDescent="0.25">
      <c r="A10" s="42" t="s">
        <v>9</v>
      </c>
      <c r="B10" s="47" t="s">
        <v>40</v>
      </c>
      <c r="C10" s="14">
        <v>1</v>
      </c>
      <c r="D10" s="69">
        <f>E9</f>
        <v>45855</v>
      </c>
      <c r="E10" s="69">
        <f t="shared" si="6"/>
        <v>45855</v>
      </c>
      <c r="F10" s="11"/>
      <c r="G10" s="11">
        <f t="shared" si="5"/>
        <v>1</v>
      </c>
      <c r="H10" s="27"/>
      <c r="I10" s="27"/>
      <c r="J10" s="27"/>
      <c r="K10" s="27"/>
      <c r="L10" s="27"/>
      <c r="M10" s="27"/>
      <c r="N10" s="27"/>
      <c r="O10" s="27"/>
      <c r="P10" s="27"/>
      <c r="Q10" s="27"/>
      <c r="R10" s="27"/>
      <c r="S10" s="27"/>
      <c r="T10" s="28"/>
      <c r="U10" s="28"/>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row>
    <row r="11" spans="1:63" s="2" customFormat="1" ht="30" customHeight="1" thickBot="1" x14ac:dyDescent="0.25">
      <c r="A11" s="41"/>
      <c r="B11" s="47" t="s">
        <v>41</v>
      </c>
      <c r="C11" s="14">
        <v>1</v>
      </c>
      <c r="D11" s="69">
        <f>E10+1</f>
        <v>45856</v>
      </c>
      <c r="E11" s="69">
        <f t="shared" si="6"/>
        <v>45856</v>
      </c>
      <c r="F11" s="11"/>
      <c r="G11" s="11">
        <f t="shared" si="5"/>
        <v>1</v>
      </c>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row>
    <row r="12" spans="1:63" s="2" customFormat="1" ht="30" customHeight="1" thickBot="1" x14ac:dyDescent="0.25">
      <c r="A12" s="41"/>
      <c r="B12" s="47" t="s">
        <v>42</v>
      </c>
      <c r="C12" s="14">
        <v>1</v>
      </c>
      <c r="D12" s="69">
        <f>E11</f>
        <v>45856</v>
      </c>
      <c r="E12" s="69">
        <f t="shared" si="6"/>
        <v>45856</v>
      </c>
      <c r="F12" s="11"/>
      <c r="G12" s="11"/>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row>
    <row r="13" spans="1:63" s="2" customFormat="1" ht="30" customHeight="1" thickBot="1" x14ac:dyDescent="0.25">
      <c r="A13" s="41"/>
      <c r="B13" s="47" t="s">
        <v>43</v>
      </c>
      <c r="C13" s="14">
        <v>1</v>
      </c>
      <c r="D13" s="69">
        <f>E12</f>
        <v>45856</v>
      </c>
      <c r="E13" s="69">
        <f t="shared" si="6"/>
        <v>45856</v>
      </c>
      <c r="F13" s="11"/>
      <c r="G13" s="11"/>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row>
    <row r="14" spans="1:63" s="2" customFormat="1" ht="30" customHeight="1" thickBot="1" x14ac:dyDescent="0.25">
      <c r="A14" s="41"/>
      <c r="B14" s="47" t="s">
        <v>44</v>
      </c>
      <c r="C14" s="14">
        <v>1</v>
      </c>
      <c r="D14" s="69">
        <f>E11</f>
        <v>45856</v>
      </c>
      <c r="E14" s="69">
        <f t="shared" si="6"/>
        <v>45856</v>
      </c>
      <c r="F14" s="11"/>
      <c r="G14" s="11">
        <f t="shared" si="5"/>
        <v>1</v>
      </c>
      <c r="H14" s="27"/>
      <c r="I14" s="27"/>
      <c r="J14" s="27"/>
      <c r="K14" s="27"/>
      <c r="L14" s="27"/>
      <c r="M14" s="27"/>
      <c r="N14" s="27"/>
      <c r="O14" s="27"/>
      <c r="P14" s="27"/>
      <c r="Q14" s="27"/>
      <c r="R14" s="27"/>
      <c r="S14" s="27"/>
      <c r="T14" s="27"/>
      <c r="U14" s="27"/>
      <c r="V14" s="27"/>
      <c r="W14" s="27"/>
      <c r="X14" s="28"/>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row>
    <row r="15" spans="1:63" s="2" customFormat="1" ht="30" customHeight="1" thickBot="1" x14ac:dyDescent="0.25">
      <c r="A15" s="41"/>
      <c r="B15" s="47" t="s">
        <v>54</v>
      </c>
      <c r="C15" s="14">
        <v>1</v>
      </c>
      <c r="D15" s="69">
        <f>E14+1</f>
        <v>45857</v>
      </c>
      <c r="E15" s="69">
        <f>D15+0</f>
        <v>45857</v>
      </c>
      <c r="F15" s="11"/>
      <c r="G15" s="11">
        <f t="shared" si="5"/>
        <v>1</v>
      </c>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row>
    <row r="16" spans="1:63" s="2" customFormat="1" ht="30" customHeight="1" thickBot="1" x14ac:dyDescent="0.25">
      <c r="A16" s="42" t="s">
        <v>10</v>
      </c>
      <c r="B16" s="15" t="s">
        <v>45</v>
      </c>
      <c r="C16" s="16"/>
      <c r="D16" s="70"/>
      <c r="E16" s="71"/>
      <c r="F16" s="11"/>
      <c r="G16" s="11" t="str">
        <f t="shared" si="5"/>
        <v/>
      </c>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row>
    <row r="17" spans="1:63" s="2" customFormat="1" ht="30" customHeight="1" thickBot="1" x14ac:dyDescent="0.25">
      <c r="A17" s="42"/>
      <c r="B17" s="48" t="s">
        <v>46</v>
      </c>
      <c r="C17" s="17">
        <v>1</v>
      </c>
      <c r="D17" s="72">
        <f>D15+1</f>
        <v>45858</v>
      </c>
      <c r="E17" s="72">
        <f>D17+0</f>
        <v>45858</v>
      </c>
      <c r="F17" s="11"/>
      <c r="G17" s="11">
        <f t="shared" si="5"/>
        <v>1</v>
      </c>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row>
    <row r="18" spans="1:63" s="2" customFormat="1" ht="30" customHeight="1" thickBot="1" x14ac:dyDescent="0.25">
      <c r="A18" s="41"/>
      <c r="B18" s="48" t="s">
        <v>47</v>
      </c>
      <c r="C18" s="17">
        <v>1</v>
      </c>
      <c r="D18" s="72">
        <f>D17+0</f>
        <v>45858</v>
      </c>
      <c r="E18" s="72">
        <f>D18+0</f>
        <v>45858</v>
      </c>
      <c r="F18" s="11"/>
      <c r="G18" s="11">
        <f t="shared" si="5"/>
        <v>1</v>
      </c>
      <c r="H18" s="27"/>
      <c r="I18" s="27"/>
      <c r="J18" s="27"/>
      <c r="K18" s="27"/>
      <c r="L18" s="27"/>
      <c r="M18" s="27"/>
      <c r="N18" s="27"/>
      <c r="O18" s="27"/>
      <c r="P18" s="27"/>
      <c r="Q18" s="27"/>
      <c r="R18" s="27"/>
      <c r="S18" s="27"/>
      <c r="T18" s="28"/>
      <c r="U18" s="28"/>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row>
    <row r="19" spans="1:63" s="2" customFormat="1" ht="30" customHeight="1" thickBot="1" x14ac:dyDescent="0.25">
      <c r="A19" s="41"/>
      <c r="B19" s="48" t="s">
        <v>48</v>
      </c>
      <c r="C19" s="17">
        <v>0</v>
      </c>
      <c r="D19" s="72">
        <f>E18+1</f>
        <v>45859</v>
      </c>
      <c r="E19" s="72">
        <f>D19+0</f>
        <v>45859</v>
      </c>
      <c r="F19" s="11"/>
      <c r="G19" s="11">
        <f t="shared" si="5"/>
        <v>1</v>
      </c>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row>
    <row r="20" spans="1:63" s="2" customFormat="1" ht="30" customHeight="1" thickBot="1" x14ac:dyDescent="0.25">
      <c r="A20" s="41"/>
      <c r="B20" s="48" t="s">
        <v>49</v>
      </c>
      <c r="C20" s="17">
        <v>1</v>
      </c>
      <c r="D20" s="72">
        <f>D19</f>
        <v>45859</v>
      </c>
      <c r="E20" s="72">
        <f>D20+0</f>
        <v>45859</v>
      </c>
      <c r="F20" s="11"/>
      <c r="G20" s="11">
        <f t="shared" si="5"/>
        <v>1</v>
      </c>
      <c r="H20" s="27"/>
      <c r="I20" s="27"/>
      <c r="J20" s="27"/>
      <c r="K20" s="27"/>
      <c r="L20" s="27"/>
      <c r="M20" s="27"/>
      <c r="N20" s="27"/>
      <c r="O20" s="27"/>
      <c r="P20" s="27"/>
      <c r="Q20" s="27"/>
      <c r="R20" s="27"/>
      <c r="S20" s="27"/>
      <c r="T20" s="27"/>
      <c r="U20" s="27"/>
      <c r="V20" s="27"/>
      <c r="W20" s="27"/>
      <c r="X20" s="28"/>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row>
    <row r="21" spans="1:63" s="2" customFormat="1" ht="30" customHeight="1" thickBot="1" x14ac:dyDescent="0.25">
      <c r="A21" s="41"/>
      <c r="B21" s="48" t="s">
        <v>50</v>
      </c>
      <c r="C21" s="17">
        <v>0</v>
      </c>
      <c r="D21" s="72">
        <f>E20+1</f>
        <v>45860</v>
      </c>
      <c r="E21" s="72">
        <f>D21+0</f>
        <v>45860</v>
      </c>
      <c r="F21" s="11"/>
      <c r="G21" s="11"/>
      <c r="H21" s="27"/>
      <c r="I21" s="27"/>
      <c r="J21" s="27"/>
      <c r="K21" s="27"/>
      <c r="L21" s="27"/>
      <c r="M21" s="27"/>
      <c r="N21" s="27"/>
      <c r="O21" s="27"/>
      <c r="P21" s="27"/>
      <c r="Q21" s="27"/>
      <c r="R21" s="27"/>
      <c r="S21" s="27"/>
      <c r="T21" s="27"/>
      <c r="U21" s="27"/>
      <c r="V21" s="27"/>
      <c r="W21" s="27"/>
      <c r="X21" s="28"/>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row>
    <row r="22" spans="1:63" s="2" customFormat="1" ht="30" customHeight="1" thickBot="1" x14ac:dyDescent="0.25">
      <c r="A22" s="41"/>
      <c r="B22" s="48" t="s">
        <v>51</v>
      </c>
      <c r="C22" s="17">
        <v>0.8</v>
      </c>
      <c r="D22" s="72">
        <f>E21+1</f>
        <v>45861</v>
      </c>
      <c r="E22" s="72">
        <f>D22</f>
        <v>45861</v>
      </c>
      <c r="F22" s="11"/>
      <c r="G22" s="11"/>
      <c r="H22" s="27"/>
      <c r="I22" s="27"/>
      <c r="J22" s="27"/>
      <c r="K22" s="27"/>
      <c r="L22" s="27"/>
      <c r="M22" s="27"/>
      <c r="N22" s="27"/>
      <c r="O22" s="27"/>
      <c r="P22" s="27"/>
      <c r="Q22" s="27"/>
      <c r="R22" s="27"/>
      <c r="S22" s="27"/>
      <c r="T22" s="27"/>
      <c r="U22" s="27"/>
      <c r="V22" s="27"/>
      <c r="W22" s="27"/>
      <c r="X22" s="28"/>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row>
    <row r="23" spans="1:63" s="2" customFormat="1" ht="30" customHeight="1" thickBot="1" x14ac:dyDescent="0.25">
      <c r="A23" s="41"/>
      <c r="B23" s="48" t="s">
        <v>52</v>
      </c>
      <c r="C23" s="17">
        <v>0</v>
      </c>
      <c r="D23" s="72">
        <f>E22+1</f>
        <v>45862</v>
      </c>
      <c r="E23" s="72">
        <f>D23</f>
        <v>45862</v>
      </c>
      <c r="F23" s="11"/>
      <c r="G23" s="11"/>
      <c r="H23" s="27"/>
      <c r="I23" s="27"/>
      <c r="J23" s="27"/>
      <c r="K23" s="27"/>
      <c r="L23" s="27"/>
      <c r="M23" s="27"/>
      <c r="N23" s="27"/>
      <c r="O23" s="27"/>
      <c r="P23" s="27"/>
      <c r="Q23" s="27"/>
      <c r="R23" s="27"/>
      <c r="S23" s="27"/>
      <c r="T23" s="27"/>
      <c r="U23" s="27"/>
      <c r="V23" s="27"/>
      <c r="W23" s="27"/>
      <c r="X23" s="28"/>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row>
    <row r="24" spans="1:63" s="2" customFormat="1" ht="30" customHeight="1" thickBot="1" x14ac:dyDescent="0.25">
      <c r="A24" s="41"/>
      <c r="B24" s="48" t="s">
        <v>53</v>
      </c>
      <c r="C24" s="17">
        <v>0.3</v>
      </c>
      <c r="D24" s="72">
        <f>E22+1</f>
        <v>45862</v>
      </c>
      <c r="E24" s="72">
        <f>D24</f>
        <v>45862</v>
      </c>
      <c r="F24" s="11"/>
      <c r="G24" s="11"/>
      <c r="H24" s="27"/>
      <c r="I24" s="27"/>
      <c r="J24" s="27"/>
      <c r="K24" s="27"/>
      <c r="L24" s="27"/>
      <c r="M24" s="27"/>
      <c r="N24" s="27"/>
      <c r="O24" s="27"/>
      <c r="P24" s="27"/>
      <c r="Q24" s="27"/>
      <c r="R24" s="27"/>
      <c r="S24" s="27"/>
      <c r="T24" s="27"/>
      <c r="U24" s="27"/>
      <c r="V24" s="27"/>
      <c r="W24" s="27"/>
      <c r="X24" s="28"/>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row>
    <row r="25" spans="1:63" s="2" customFormat="1" ht="30" customHeight="1" thickBot="1" x14ac:dyDescent="0.25">
      <c r="A25" s="41"/>
      <c r="B25" s="48" t="s">
        <v>54</v>
      </c>
      <c r="C25" s="17">
        <v>0</v>
      </c>
      <c r="D25" s="72">
        <f>E23+1</f>
        <v>45863</v>
      </c>
      <c r="E25" s="72">
        <f>D25+2</f>
        <v>45865</v>
      </c>
      <c r="F25" s="11"/>
      <c r="G25" s="11">
        <f t="shared" si="5"/>
        <v>3</v>
      </c>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row>
    <row r="26" spans="1:63" s="2" customFormat="1" ht="30" customHeight="1" thickBot="1" x14ac:dyDescent="0.25">
      <c r="A26" s="41" t="s">
        <v>11</v>
      </c>
      <c r="B26" s="18" t="s">
        <v>55</v>
      </c>
      <c r="C26" s="19"/>
      <c r="D26" s="73"/>
      <c r="E26" s="74"/>
      <c r="F26" s="11"/>
      <c r="G26" s="11" t="str">
        <f t="shared" si="5"/>
        <v/>
      </c>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row>
    <row r="27" spans="1:63" s="2" customFormat="1" ht="30" customHeight="1" thickBot="1" x14ac:dyDescent="0.25">
      <c r="A27" s="41"/>
      <c r="B27" s="49" t="s">
        <v>56</v>
      </c>
      <c r="C27" s="20">
        <v>0</v>
      </c>
      <c r="D27" s="75">
        <v>45865</v>
      </c>
      <c r="E27" s="75">
        <f>D27+1</f>
        <v>45866</v>
      </c>
      <c r="F27" s="11"/>
      <c r="G27" s="11">
        <f t="shared" si="5"/>
        <v>2</v>
      </c>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row>
    <row r="28" spans="1:63" s="2" customFormat="1" ht="30" customHeight="1" thickBot="1" x14ac:dyDescent="0.25">
      <c r="A28" s="41"/>
      <c r="B28" s="49" t="s">
        <v>57</v>
      </c>
      <c r="C28" s="20">
        <v>0</v>
      </c>
      <c r="D28" s="75">
        <f>E27+1</f>
        <v>45867</v>
      </c>
      <c r="E28" s="75">
        <f>D28+1</f>
        <v>45868</v>
      </c>
      <c r="F28" s="11"/>
      <c r="G28" s="11">
        <f t="shared" si="5"/>
        <v>2</v>
      </c>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row>
    <row r="29" spans="1:63" s="2" customFormat="1" ht="30" customHeight="1" thickBot="1" x14ac:dyDescent="0.25">
      <c r="A29" s="41"/>
      <c r="B29" s="49" t="s">
        <v>58</v>
      </c>
      <c r="C29" s="20">
        <v>0</v>
      </c>
      <c r="D29" s="75">
        <f>E28+1</f>
        <v>45869</v>
      </c>
      <c r="E29" s="75">
        <f>D29+1</f>
        <v>45870</v>
      </c>
      <c r="F29" s="11"/>
      <c r="G29" s="11">
        <f t="shared" si="5"/>
        <v>2</v>
      </c>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row>
    <row r="30" spans="1:63" s="2" customFormat="1" ht="30" customHeight="1" thickBot="1" x14ac:dyDescent="0.25">
      <c r="A30" s="41"/>
      <c r="B30" s="49" t="s">
        <v>54</v>
      </c>
      <c r="C30" s="20">
        <v>0</v>
      </c>
      <c r="D30" s="75">
        <f>E29+1</f>
        <v>45871</v>
      </c>
      <c r="E30" s="75">
        <f>D30+1</f>
        <v>45872</v>
      </c>
      <c r="F30" s="11"/>
      <c r="G30" s="11">
        <f t="shared" si="5"/>
        <v>2</v>
      </c>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row>
    <row r="31" spans="1:63" s="2" customFormat="1" ht="30" customHeight="1" thickBot="1" x14ac:dyDescent="0.25">
      <c r="A31" s="41" t="s">
        <v>11</v>
      </c>
      <c r="B31" s="21" t="s">
        <v>62</v>
      </c>
      <c r="C31" s="22"/>
      <c r="D31" s="76"/>
      <c r="E31" s="77"/>
      <c r="F31" s="11"/>
      <c r="G31" s="11" t="str">
        <f t="shared" si="5"/>
        <v/>
      </c>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row>
    <row r="32" spans="1:63" s="2" customFormat="1" ht="30" customHeight="1" thickBot="1" x14ac:dyDescent="0.25">
      <c r="A32" s="41"/>
      <c r="B32" s="50" t="s">
        <v>63</v>
      </c>
      <c r="C32" s="23">
        <v>0</v>
      </c>
      <c r="D32" s="78">
        <v>45872</v>
      </c>
      <c r="E32" s="78">
        <f>D32+1</f>
        <v>45873</v>
      </c>
      <c r="F32" s="11"/>
      <c r="G32" s="11">
        <f t="shared" si="5"/>
        <v>2</v>
      </c>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row>
    <row r="33" spans="1:63" s="2" customFormat="1" ht="30" customHeight="1" thickBot="1" x14ac:dyDescent="0.25">
      <c r="A33" s="41"/>
      <c r="B33" s="50" t="s">
        <v>64</v>
      </c>
      <c r="C33" s="23">
        <v>0</v>
      </c>
      <c r="D33" s="78">
        <f>E32</f>
        <v>45873</v>
      </c>
      <c r="E33" s="78">
        <f>D33+3</f>
        <v>45876</v>
      </c>
      <c r="F33" s="11"/>
      <c r="G33" s="11">
        <f t="shared" si="5"/>
        <v>4</v>
      </c>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row>
    <row r="34" spans="1:63" s="2" customFormat="1" ht="30" customHeight="1" thickBot="1" x14ac:dyDescent="0.25">
      <c r="A34" s="41"/>
      <c r="B34" s="50" t="s">
        <v>65</v>
      </c>
      <c r="C34" s="23">
        <v>0</v>
      </c>
      <c r="D34" s="78">
        <f>E33</f>
        <v>45876</v>
      </c>
      <c r="E34" s="78">
        <f>D34+0</f>
        <v>45876</v>
      </c>
      <c r="F34" s="11"/>
      <c r="G34" s="11">
        <f t="shared" si="5"/>
        <v>1</v>
      </c>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row>
    <row r="35" spans="1:63" s="2" customFormat="1" ht="30" customHeight="1" thickBot="1" x14ac:dyDescent="0.25">
      <c r="A35" s="41"/>
      <c r="B35" s="65" t="s">
        <v>59</v>
      </c>
      <c r="C35" s="66"/>
      <c r="D35" s="79"/>
      <c r="E35" s="80"/>
      <c r="F35" s="11"/>
      <c r="G35" s="11"/>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row>
    <row r="36" spans="1:63" s="2" customFormat="1" ht="30" customHeight="1" thickBot="1" x14ac:dyDescent="0.25">
      <c r="A36" s="41"/>
      <c r="B36" s="67" t="s">
        <v>60</v>
      </c>
      <c r="C36" s="68">
        <v>0</v>
      </c>
      <c r="D36" s="81">
        <f>E34</f>
        <v>45876</v>
      </c>
      <c r="E36" s="81">
        <f>D36+2</f>
        <v>45878</v>
      </c>
      <c r="F36" s="11"/>
      <c r="G36" s="11"/>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row>
    <row r="37" spans="1:63" s="2" customFormat="1" ht="30" customHeight="1" thickBot="1" x14ac:dyDescent="0.25">
      <c r="A37" s="41"/>
      <c r="B37" s="67" t="s">
        <v>61</v>
      </c>
      <c r="C37" s="68">
        <v>0</v>
      </c>
      <c r="D37" s="81">
        <f>E36</f>
        <v>45878</v>
      </c>
      <c r="E37" s="81">
        <f>D37+1</f>
        <v>45879</v>
      </c>
      <c r="F37" s="11"/>
      <c r="G37" s="11"/>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row>
    <row r="38" spans="1:63" s="2" customFormat="1" ht="30" customHeight="1" thickBot="1" x14ac:dyDescent="0.25">
      <c r="A38" s="41"/>
      <c r="B38" s="67" t="s">
        <v>66</v>
      </c>
      <c r="C38" s="68">
        <v>0</v>
      </c>
      <c r="D38" s="81">
        <f>E37</f>
        <v>45879</v>
      </c>
      <c r="E38" s="81">
        <f>D38+0</f>
        <v>45879</v>
      </c>
      <c r="F38" s="11"/>
      <c r="G38" s="11"/>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row>
    <row r="39" spans="1:63" s="2" customFormat="1" ht="30" customHeight="1" thickBot="1" x14ac:dyDescent="0.25">
      <c r="A39" s="41"/>
      <c r="B39" s="67" t="s">
        <v>67</v>
      </c>
      <c r="C39" s="68">
        <v>0</v>
      </c>
      <c r="D39" s="81">
        <f>E38</f>
        <v>45879</v>
      </c>
      <c r="E39" s="81">
        <f>D39</f>
        <v>45879</v>
      </c>
      <c r="F39" s="11"/>
      <c r="G39" s="11"/>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row>
    <row r="40" spans="1:63" s="2" customFormat="1" ht="30" customHeight="1" thickBot="1" x14ac:dyDescent="0.25">
      <c r="A40" s="41" t="s">
        <v>12</v>
      </c>
      <c r="B40" s="51"/>
      <c r="C40" s="10"/>
      <c r="D40" s="59"/>
      <c r="E40" s="59"/>
      <c r="F40" s="11"/>
      <c r="G40" s="11" t="str">
        <f t="shared" si="5"/>
        <v/>
      </c>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row>
    <row r="41" spans="1:63" s="2" customFormat="1" ht="30" customHeight="1" thickBot="1" x14ac:dyDescent="0.25">
      <c r="A41" s="42" t="s">
        <v>13</v>
      </c>
      <c r="B41" s="24" t="s">
        <v>15</v>
      </c>
      <c r="C41" s="25"/>
      <c r="D41" s="60"/>
      <c r="E41" s="61"/>
      <c r="F41" s="26"/>
      <c r="G41" s="26" t="str">
        <f t="shared" si="5"/>
        <v/>
      </c>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row>
    <row r="42" spans="1:63" ht="30" customHeight="1" x14ac:dyDescent="0.2">
      <c r="F42" s="5"/>
    </row>
    <row r="43" spans="1:63" ht="30" customHeight="1" x14ac:dyDescent="0.2">
      <c r="E43" s="43"/>
    </row>
  </sheetData>
  <mergeCells count="9">
    <mergeCell ref="AJ4:AP4"/>
    <mergeCell ref="AQ4:AW4"/>
    <mergeCell ref="AX4:BD4"/>
    <mergeCell ref="BE4:BK4"/>
    <mergeCell ref="D3:E3"/>
    <mergeCell ref="H4:N4"/>
    <mergeCell ref="O4:U4"/>
    <mergeCell ref="V4:AB4"/>
    <mergeCell ref="AC4:AI4"/>
  </mergeCells>
  <conditionalFormatting sqref="C7:C41">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BK41">
    <cfRule type="expression" dxfId="2" priority="33">
      <formula>AND(TODAY()&gt;=H$5,TODAY()&lt;I$5)</formula>
    </cfRule>
  </conditionalFormatting>
  <conditionalFormatting sqref="H7:BK41">
    <cfRule type="expression" dxfId="1" priority="27">
      <formula>AND(task_start&lt;=H$5,ROUNDDOWN((task_end-task_start+1)*task_progress,0)+task_start-1&gt;=H$5)</formula>
    </cfRule>
    <cfRule type="expression" dxfId="0" priority="28" stopIfTrue="1">
      <formula>AND(task_end&gt;=H$5,task_start&lt;I$5)</formula>
    </cfRule>
  </conditionalFormatting>
  <dataValidations count="1">
    <dataValidation type="whole" operator="greaterThanOrEqual" allowBlank="1" showInputMessage="1" promptTitle="Woche anzeigen" prompt="Das Ändern dieser Zahl bewirkt ein Scrollen in der Gantt-Diagrammansicht." sqref="D4"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640625" defaultRowHeight="14" x14ac:dyDescent="0.2"/>
  <cols>
    <col min="1" max="1" width="87.1640625" style="31" customWidth="1"/>
    <col min="2" max="16384" width="9.1640625" style="1"/>
  </cols>
  <sheetData>
    <row r="1" spans="1:2" ht="46.5" customHeight="1" x14ac:dyDescent="0.2"/>
    <row r="2" spans="1:2" s="33" customFormat="1" ht="16" x14ac:dyDescent="0.2">
      <c r="A2" s="32" t="s">
        <v>20</v>
      </c>
      <c r="B2" s="32"/>
    </row>
    <row r="3" spans="1:2" s="37" customFormat="1" ht="27" customHeight="1" x14ac:dyDescent="0.2">
      <c r="A3" s="55" t="s">
        <v>21</v>
      </c>
      <c r="B3" s="38"/>
    </row>
    <row r="4" spans="1:2" s="34" customFormat="1" ht="26" x14ac:dyDescent="0.3">
      <c r="A4" s="35" t="s">
        <v>22</v>
      </c>
    </row>
    <row r="5" spans="1:2" ht="74" customHeight="1" x14ac:dyDescent="0.2">
      <c r="A5" s="36" t="s">
        <v>23</v>
      </c>
    </row>
    <row r="6" spans="1:2" ht="26.25" customHeight="1" x14ac:dyDescent="0.2">
      <c r="A6" s="35" t="s">
        <v>24</v>
      </c>
    </row>
    <row r="7" spans="1:2" s="31" customFormat="1" ht="205" customHeight="1" x14ac:dyDescent="0.2">
      <c r="A7" s="40" t="s">
        <v>25</v>
      </c>
    </row>
    <row r="8" spans="1:2" s="34" customFormat="1" ht="26" x14ac:dyDescent="0.3">
      <c r="A8" s="35" t="s">
        <v>26</v>
      </c>
    </row>
    <row r="9" spans="1:2" ht="64" x14ac:dyDescent="0.2">
      <c r="A9" s="36" t="s">
        <v>27</v>
      </c>
    </row>
    <row r="10" spans="1:2" s="31" customFormat="1" ht="28" customHeight="1" x14ac:dyDescent="0.2">
      <c r="A10" s="39" t="s">
        <v>28</v>
      </c>
    </row>
    <row r="11" spans="1:2" s="34" customFormat="1" ht="26" x14ac:dyDescent="0.3">
      <c r="A11" s="35" t="s">
        <v>29</v>
      </c>
    </row>
    <row r="12" spans="1:2" ht="32" x14ac:dyDescent="0.2">
      <c r="A12" s="36" t="s">
        <v>30</v>
      </c>
    </row>
    <row r="13" spans="1:2" s="31" customFormat="1" ht="28" customHeight="1" x14ac:dyDescent="0.2">
      <c r="A13" s="39" t="s">
        <v>31</v>
      </c>
    </row>
    <row r="14" spans="1:2" s="34" customFormat="1" ht="26" x14ac:dyDescent="0.3">
      <c r="A14" s="35" t="s">
        <v>32</v>
      </c>
    </row>
    <row r="15" spans="1:2" ht="75" customHeight="1" x14ac:dyDescent="0.2">
      <c r="A15" s="36" t="s">
        <v>33</v>
      </c>
    </row>
    <row r="16" spans="1:2" ht="80" x14ac:dyDescent="0.2">
      <c r="A16" s="36" t="s">
        <v>34</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Projektplan</vt:lpstr>
      <vt:lpstr>Info</vt:lpstr>
      <vt:lpstr>Anzeigewoche</vt:lpstr>
      <vt:lpstr>Projektplan!Print_Titles</vt:lpstr>
      <vt:lpstr>Projektanfang</vt:lpstr>
      <vt:lpstr>Projektplan!task_end</vt:lpstr>
      <vt:lpstr>Projektplan!task_progress</vt:lpstr>
      <vt:lpstr>Projektplan!task_start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2025-07-25T19:00:26Z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